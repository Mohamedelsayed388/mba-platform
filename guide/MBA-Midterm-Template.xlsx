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Input" sheetId="2" state="visible" r:id="rId4"/>
    <sheet name="Horizontal" sheetId="3" state="visible" r:id="rId5"/>
    <sheet name="Vertical" sheetId="4" state="visible" r:id="rId6"/>
    <sheet name="Ratios" sheetId="5" state="visible" r:id="rId7"/>
    <sheet name="DuPont" sheetId="6" state="visible" r:id="rId8"/>
    <sheet name="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Cleopatra Hospitals Group earnings releases (FY2023, FY2025), cleopatrahospitals.com Investor Relations. EGP mn.</t>
        </r>
      </text>
    </comment>
  </commentList>
</comments>
</file>

<file path=xl/sharedStrings.xml><?xml version="1.0" encoding="utf-8"?>
<sst xmlns="http://schemas.openxmlformats.org/spreadsheetml/2006/main" count="333" uniqueCount="249">
  <si>
    <t xml:space="preserve">MBA Platform · Midterm Project Template · Financial Statement Analysis</t>
  </si>
  <si>
    <t xml:space="preserve">قالب مشروع الميد تيرم: تحليل القوائم المالية لشركة</t>
  </si>
  <si>
    <t xml:space="preserve">HOW TO USE · طريقة الاستخدام</t>
  </si>
  <si>
    <t xml:space="preserve">1. Go to the Input sheet. Replace the yellow cells (blue numbers) with your company's figures from its audited annual financial statements.</t>
  </si>
  <si>
    <t xml:space="preserve">    روح على شيت Input، وغيّر الخانات الصفرا (الأرقام الزرقا) بأرقام شركتك من القوائم المالية المعتمدة.</t>
  </si>
  <si>
    <t xml:space="preserve">2. Keep one unit for everything (e.g. EGP millions). Enter four balance sheets (the first year is only used for averages) and three years of income and cash flow.</t>
  </si>
  <si>
    <t xml:space="preserve">    خلّي كل الأرقام بنفس الوحدة (مثلًا مليون جنيه). محتاج 4 ميزانيات (أول سنة للمتوسطات بس) و3 سنين من قائمة الدخل والتدفقات.</t>
  </si>
  <si>
    <t xml:space="preserve">3. Do not type in black cells: they are formulas. Horizontal, Vertical, Ratios and DuPont fill themselves.</t>
  </si>
  <si>
    <t xml:space="preserve">    ماتكتبش في الخانات السودا، دي معادلات. شيتات Horizontal وVertical وRatios وDuPont بتتحسب لوحدها.</t>
  </si>
  <si>
    <t xml:space="preserve">4. Check row "Balance check" on the Input sheet: it must be zero (or ±0.1 from rounding). If not, a figure is wrong.</t>
  </si>
  <si>
    <t xml:space="preserve">    راجع سطر Balance check في شيت Input: لازم يطلع صفر (أو ±0.1 من التقريب). لو مش صفر، فيه رقم غلط.</t>
  </si>
  <si>
    <t xml:space="preserve">5. The numbers are not the analysis. For every ratio, write one line: what changed, why, and what it means. See the guide on MBA Platform.</t>
  </si>
  <si>
    <t xml:space="preserve">    الأرقام مش هي التحليل. لكل نسبة اكتب سطر: إيه اللي اتغير، وليه، ومعناه إيه. الدليل الكامل على MBA Platform.</t>
  </si>
  <si>
    <t xml:space="preserve">LEGEND · دليل الألوان</t>
  </si>
  <si>
    <t xml:space="preserve">Yellow fill + blue text = input you change  ·  Black text = formula, do not edit  ·  Green text = pulled from another sheet</t>
  </si>
  <si>
    <t xml:space="preserve">EXAMPLE FILLED IN · المثال المحلول</t>
  </si>
  <si>
    <t xml:space="preserve">The template is pre-filled with Cleopatra Hospitals Group (EGX: CLHO), EGP millions, 2022–2025, as a worked example.</t>
  </si>
  <si>
    <t xml:space="preserve">Sources: Cleopatra Hospitals Group earnings releases FY2023 and FY2025; audited consolidated financial statements for the year ended 31 Dec 2025 (cash flows 2024–2025). cleopatrahospitals.com, Investor Relations.</t>
  </si>
  <si>
    <t xml:space="preserve">Small differences (±0.1) come from rounding in the releases. Earnings releases can reclassify items; for your project, use the audited statements as the primary source.</t>
  </si>
  <si>
    <t xml:space="preserve">Independent study aid by Mohamed Elsayed, AI Instructor. Not an official Arab Academy publication, and not investment advice.</t>
  </si>
  <si>
    <t xml:space="preserve">Input · Company: Cleopatra Hospitals Group (example)</t>
  </si>
  <si>
    <t xml:space="preserve">Unit: EGP millions · الوحدة: مليون جنيه</t>
  </si>
  <si>
    <t xml:space="preserve">Company name / اسم الشركة:</t>
  </si>
  <si>
    <t xml:space="preserve">Cleopatra Hospitals Group</t>
  </si>
  <si>
    <t xml:space="preserve">Item</t>
  </si>
  <si>
    <t xml:space="preserve">البند</t>
  </si>
  <si>
    <t xml:space="preserve">2022</t>
  </si>
  <si>
    <t xml:space="preserve">2023</t>
  </si>
  <si>
    <t xml:space="preserve">2024</t>
  </si>
  <si>
    <t xml:space="preserve">2025</t>
  </si>
  <si>
    <t xml:space="preserve">Note / ملاحظة</t>
  </si>
  <si>
    <t xml:space="preserve">INCOME STATEMENT · قائمة الدخل</t>
  </si>
  <si>
    <t xml:space="preserve">Revenue</t>
  </si>
  <si>
    <t xml:space="preserve">الإيرادات</t>
  </si>
  <si>
    <t xml:space="preserve">2022: balance sheet only (used for 2023 averages)</t>
  </si>
  <si>
    <t xml:space="preserve">Cost of revenue (COGS)</t>
  </si>
  <si>
    <t xml:space="preserve">تكلفة الإيرادات</t>
  </si>
  <si>
    <t xml:space="preserve">Enter as a positive number</t>
  </si>
  <si>
    <t xml:space="preserve">Gross profit</t>
  </si>
  <si>
    <t xml:space="preserve">مجمل الربح</t>
  </si>
  <si>
    <t xml:space="preserve">G&amp;A and other operating expenses</t>
  </si>
  <si>
    <t xml:space="preserve">مصروفات إدارية وتشغيلية</t>
  </si>
  <si>
    <t xml:space="preserve">Includes expected credit losses</t>
  </si>
  <si>
    <t xml:space="preserve">Operating profit (EBIT)</t>
  </si>
  <si>
    <t xml:space="preserve">الربح التشغيلي</t>
  </si>
  <si>
    <t xml:space="preserve">As reported (other income/expenses included)</t>
  </si>
  <si>
    <t xml:space="preserve">Interest (finance) expense</t>
  </si>
  <si>
    <t xml:space="preserve">مصروف الفوائد</t>
  </si>
  <si>
    <t xml:space="preserve">Profit before tax</t>
  </si>
  <si>
    <t xml:space="preserve">الربح قبل الضرائب</t>
  </si>
  <si>
    <t xml:space="preserve">Net profit after tax</t>
  </si>
  <si>
    <t xml:space="preserve">صافي الربح بعد الضرائب</t>
  </si>
  <si>
    <t xml:space="preserve">Total, incl. non-controlling interests</t>
  </si>
  <si>
    <t xml:space="preserve">Depreciation &amp; amortization</t>
  </si>
  <si>
    <t xml:space="preserve">الإهلاك والاستهلاك</t>
  </si>
  <si>
    <t xml:space="preserve">From the cash flow statement</t>
  </si>
  <si>
    <t xml:space="preserve">EPS (as reported)</t>
  </si>
  <si>
    <t xml:space="preserve">ربحية السهم</t>
  </si>
  <si>
    <t xml:space="preserve">EGP per share; not in the FY2023 release</t>
  </si>
  <si>
    <t xml:space="preserve">BALANCE SHEET · الميزانية</t>
  </si>
  <si>
    <t xml:space="preserve">Cash and cash equivalents</t>
  </si>
  <si>
    <t xml:space="preserve">النقدية وما في حكمها</t>
  </si>
  <si>
    <t xml:space="preserve">Accounts receivable (net)</t>
  </si>
  <si>
    <t xml:space="preserve">الذمم المدينة (العملاء)</t>
  </si>
  <si>
    <t xml:space="preserve">Inventory</t>
  </si>
  <si>
    <t xml:space="preserve">المخزون</t>
  </si>
  <si>
    <t xml:space="preserve">Other current assets</t>
  </si>
  <si>
    <t xml:space="preserve">أصول متداولة أخرى</t>
  </si>
  <si>
    <t xml:space="preserve">Other receivables, prepayments, etc.</t>
  </si>
  <si>
    <t xml:space="preserve">Total current assets</t>
  </si>
  <si>
    <t xml:space="preserve">إجمالي الأصول المتداولة</t>
  </si>
  <si>
    <t xml:space="preserve">Fixed assets (PP&amp;E)</t>
  </si>
  <si>
    <t xml:space="preserve">الأصول الثابتة</t>
  </si>
  <si>
    <t xml:space="preserve">Other non-current assets</t>
  </si>
  <si>
    <t xml:space="preserve">أصول غير متداولة أخرى</t>
  </si>
  <si>
    <t xml:space="preserve">Intangibles, investments, projects, etc.</t>
  </si>
  <si>
    <t xml:space="preserve">Total non-current assets</t>
  </si>
  <si>
    <t xml:space="preserve">إجمالي الأصول غير المتداولة</t>
  </si>
  <si>
    <t xml:space="preserve">TOTAL ASSETS</t>
  </si>
  <si>
    <t xml:space="preserve">إجمالي الأصول</t>
  </si>
  <si>
    <t xml:space="preserve">Short-term borrowings</t>
  </si>
  <si>
    <t xml:space="preserve">قروض قصيرة الأجل</t>
  </si>
  <si>
    <t xml:space="preserve">Incl. current portion of long-term loans</t>
  </si>
  <si>
    <t xml:space="preserve">Payables and other current liabilities</t>
  </si>
  <si>
    <t xml:space="preserve">دائنون والتزامات متداولة أخرى</t>
  </si>
  <si>
    <t xml:space="preserve">Total current liabilities</t>
  </si>
  <si>
    <t xml:space="preserve">إجمالي الالتزامات المتداولة</t>
  </si>
  <si>
    <t xml:space="preserve">Long-term borrowings</t>
  </si>
  <si>
    <t xml:space="preserve">قروض طويلة الأجل</t>
  </si>
  <si>
    <t xml:space="preserve">Other non-current liabilities</t>
  </si>
  <si>
    <t xml:space="preserve">التزامات غير متداولة أخرى</t>
  </si>
  <si>
    <t xml:space="preserve">Leases, deferred tax, etc.</t>
  </si>
  <si>
    <t xml:space="preserve">Total non-current liabilities</t>
  </si>
  <si>
    <t xml:space="preserve">إجمالي الالتزامات غير المتداولة</t>
  </si>
  <si>
    <t xml:space="preserve">TOTAL LIABILITIES</t>
  </si>
  <si>
    <t xml:space="preserve">إجمالي الالتزامات</t>
  </si>
  <si>
    <t xml:space="preserve">Equity attributable to parent</t>
  </si>
  <si>
    <t xml:space="preserve">حقوق ملكية الشركة الأم</t>
  </si>
  <si>
    <t xml:space="preserve">Non-controlling interests</t>
  </si>
  <si>
    <t xml:space="preserve">حقوق الأقلية</t>
  </si>
  <si>
    <t xml:space="preserve">TOTAL EQUITY</t>
  </si>
  <si>
    <t xml:space="preserve">إجمالي حقوق الملكية</t>
  </si>
  <si>
    <t xml:space="preserve">Balance check (should be 0)</t>
  </si>
  <si>
    <t xml:space="preserve">مراجعة التوازن (لازم صفر)</t>
  </si>
  <si>
    <t xml:space="preserve">±0.1 is rounding</t>
  </si>
  <si>
    <t xml:space="preserve">CASH FLOW STATEMENT · قائمة التدفقات النقدية</t>
  </si>
  <si>
    <t xml:space="preserve">Net cash from operating activities</t>
  </si>
  <si>
    <t xml:space="preserve">صافي التدفق من التشغيل</t>
  </si>
  <si>
    <t xml:space="preserve">2024–2025 from audited FS</t>
  </si>
  <si>
    <t xml:space="preserve">Net cash from investing activities</t>
  </si>
  <si>
    <t xml:space="preserve">صافي التدفق من الاستثمار</t>
  </si>
  <si>
    <t xml:space="preserve">Negative = cash spent</t>
  </si>
  <si>
    <t xml:space="preserve">Net cash from financing activities</t>
  </si>
  <si>
    <t xml:space="preserve">صافي التدفق من التمويل</t>
  </si>
  <si>
    <t xml:space="preserve">Net change in cash</t>
  </si>
  <si>
    <t xml:space="preserve">صافي التغير في النقدية</t>
  </si>
  <si>
    <t xml:space="preserve">Horizontal analysis · التحليل الأفقي</t>
  </si>
  <si>
    <t xml:space="preserve">Change from the previous year: (This year − Last year) ÷ Last year. Lecture 02.</t>
  </si>
  <si>
    <t xml:space="preserve">2023 vs 2022</t>
  </si>
  <si>
    <t xml:space="preserve">2024 vs 2023</t>
  </si>
  <si>
    <t xml:space="preserve">2025 vs 2024</t>
  </si>
  <si>
    <t xml:space="preserve">Your comment · تعليقك</t>
  </si>
  <si>
    <t xml:space="preserve">Vertical analysis · التحليل الرأسي</t>
  </si>
  <si>
    <t xml:space="preserve">Income items as % of revenue; balance sheet items as % of total assets. Lecture 02.</t>
  </si>
  <si>
    <t xml:space="preserve">Cost of revenue (COGS) / Revenue</t>
  </si>
  <si>
    <t xml:space="preserve">Gross profit / Revenue</t>
  </si>
  <si>
    <t xml:space="preserve">G&amp;A and other operating expenses / Revenue</t>
  </si>
  <si>
    <t xml:space="preserve">Operating profit (EBIT) / Revenue</t>
  </si>
  <si>
    <t xml:space="preserve">Interest (finance) expense / Revenue</t>
  </si>
  <si>
    <t xml:space="preserve">Net profit after tax / Revenue</t>
  </si>
  <si>
    <t xml:space="preserve">Cash and cash equivalents / Total assets</t>
  </si>
  <si>
    <t xml:space="preserve">Accounts receivable (net) / Total assets</t>
  </si>
  <si>
    <t xml:space="preserve">Inventory / Total assets</t>
  </si>
  <si>
    <t xml:space="preserve">Total current assets / Total assets</t>
  </si>
  <si>
    <t xml:space="preserve">Fixed assets (PP&amp;E) / Total assets</t>
  </si>
  <si>
    <t xml:space="preserve">Total non-current assets / Total assets</t>
  </si>
  <si>
    <t xml:space="preserve">Total current liabilities / Total assets</t>
  </si>
  <si>
    <t xml:space="preserve">Total non-current liabilities / Total assets</t>
  </si>
  <si>
    <t xml:space="preserve">TOTAL LIABILITIES / Total assets</t>
  </si>
  <si>
    <t xml:space="preserve">TOTAL EQUITY / Total assets</t>
  </si>
  <si>
    <t xml:space="preserve">Financial ratios · النسب المالية</t>
  </si>
  <si>
    <t xml:space="preserve">Averages use (opening + closing) ÷ 2, which is why four balance sheets are needed. Lecture 04.</t>
  </si>
  <si>
    <t xml:space="preserve">Ratio</t>
  </si>
  <si>
    <t xml:space="preserve">النسبة</t>
  </si>
  <si>
    <t xml:space="preserve">Formula · المعادلة</t>
  </si>
  <si>
    <t xml:space="preserve">LIQUIDITY · السيولة</t>
  </si>
  <si>
    <t xml:space="preserve">Current ratio</t>
  </si>
  <si>
    <t xml:space="preserve">نسبة التداول</t>
  </si>
  <si>
    <t xml:space="preserve">Current assets ÷ Current liabilities</t>
  </si>
  <si>
    <t xml:space="preserve">Quick ratio (acid-test)</t>
  </si>
  <si>
    <t xml:space="preserve">نسبة السيولة السريعة</t>
  </si>
  <si>
    <t xml:space="preserve">(Current assets − Inventory) ÷ Current liabilities</t>
  </si>
  <si>
    <t xml:space="preserve">Cash ratio</t>
  </si>
  <si>
    <t xml:space="preserve">نسبة النقدية</t>
  </si>
  <si>
    <t xml:space="preserve">Cash ÷ Current liabilities</t>
  </si>
  <si>
    <t xml:space="preserve">ACTIVITY (EFFICIENCY) · النشاط (الكفاءة)</t>
  </si>
  <si>
    <t xml:space="preserve">Inventory turnover</t>
  </si>
  <si>
    <t xml:space="preserve">معدل دوران المخزون</t>
  </si>
  <si>
    <t xml:space="preserve">COGS ÷ Average inventory</t>
  </si>
  <si>
    <t xml:space="preserve">Days inventory</t>
  </si>
  <si>
    <t xml:space="preserve">أيام المخزون</t>
  </si>
  <si>
    <t xml:space="preserve">365 ÷ Inventory turnover</t>
  </si>
  <si>
    <t xml:space="preserve">Receivables turnover</t>
  </si>
  <si>
    <t xml:space="preserve">معدل دوران الذمم المدينة</t>
  </si>
  <si>
    <t xml:space="preserve">Revenue ÷ Average receivables (credit sales not disclosed)</t>
  </si>
  <si>
    <t xml:space="preserve">Average collection period</t>
  </si>
  <si>
    <t xml:space="preserve">متوسط فترة التحصيل</t>
  </si>
  <si>
    <t xml:space="preserve">365 ÷ Receivables turnover</t>
  </si>
  <si>
    <t xml:space="preserve">Fixed asset turnover</t>
  </si>
  <si>
    <t xml:space="preserve">معدل دوران الأصول الثابتة</t>
  </si>
  <si>
    <t xml:space="preserve">Revenue ÷ Average fixed assets</t>
  </si>
  <si>
    <t xml:space="preserve">Total asset turnover</t>
  </si>
  <si>
    <t xml:space="preserve">معدل دوران إجمالي الأصول</t>
  </si>
  <si>
    <t xml:space="preserve">Revenue ÷ Average total assets</t>
  </si>
  <si>
    <t xml:space="preserve">PROFITABILITY · الربحية</t>
  </si>
  <si>
    <t xml:space="preserve">Gross profit margin</t>
  </si>
  <si>
    <t xml:space="preserve">هامش مجمل الربح</t>
  </si>
  <si>
    <t xml:space="preserve">Gross profit ÷ Revenue</t>
  </si>
  <si>
    <t xml:space="preserve">Operating (EBIT) margin</t>
  </si>
  <si>
    <t xml:space="preserve">هامش الربح التشغيلي</t>
  </si>
  <si>
    <t xml:space="preserve">EBIT ÷ Revenue</t>
  </si>
  <si>
    <t xml:space="preserve">Net profit margin</t>
  </si>
  <si>
    <t xml:space="preserve">هامش صافي الربح</t>
  </si>
  <si>
    <t xml:space="preserve">Net profit ÷ Revenue</t>
  </si>
  <si>
    <t xml:space="preserve">ROA · Return on Assets</t>
  </si>
  <si>
    <t xml:space="preserve">العائد على الأصول</t>
  </si>
  <si>
    <t xml:space="preserve">Net profit ÷ Average total assets</t>
  </si>
  <si>
    <t xml:space="preserve">ROE · Return on Equity</t>
  </si>
  <si>
    <t xml:space="preserve">العائد على حقوق الملكية</t>
  </si>
  <si>
    <t xml:space="preserve">Net profit ÷ Average total equity</t>
  </si>
  <si>
    <t xml:space="preserve">EPS · Earnings Per Share</t>
  </si>
  <si>
    <t xml:space="preserve">As reported (Net profit to parent − pref. dividends) ÷ shares</t>
  </si>
  <si>
    <t xml:space="preserve">LEVERAGE · الرافعة المالية</t>
  </si>
  <si>
    <t xml:space="preserve">Debt ratio</t>
  </si>
  <si>
    <t xml:space="preserve">نسبة المديونية</t>
  </si>
  <si>
    <t xml:space="preserve">Total liabilities ÷ Total assets</t>
  </si>
  <si>
    <t xml:space="preserve">Borrowings to assets</t>
  </si>
  <si>
    <t xml:space="preserve">القروض إلى الأصول</t>
  </si>
  <si>
    <t xml:space="preserve">(Short + long-term borrowings) ÷ Total assets</t>
  </si>
  <si>
    <t xml:space="preserve">Debt-to-equity (D/E)</t>
  </si>
  <si>
    <t xml:space="preserve">الديون إلى حقوق الملكية</t>
  </si>
  <si>
    <t xml:space="preserve">Total liabilities ÷ Total equity</t>
  </si>
  <si>
    <t xml:space="preserve">Interest coverage (times interest earned)</t>
  </si>
  <si>
    <t xml:space="preserve">معدل تغطية الفوائد</t>
  </si>
  <si>
    <t xml:space="preserve">EBIT ÷ Interest expense</t>
  </si>
  <si>
    <t xml:space="preserve">CASH FLOW QUALITY · جودة التدفقات</t>
  </si>
  <si>
    <t xml:space="preserve">Operating cash flow ÷ Net profit</t>
  </si>
  <si>
    <t xml:space="preserve">التدفق التشغيلي ÷ صافي الربح</t>
  </si>
  <si>
    <t xml:space="preserve">Above 1: profit is backed by cash</t>
  </si>
  <si>
    <t xml:space="preserve">Operating + investing cash flow</t>
  </si>
  <si>
    <t xml:space="preserve">التدفق التشغيلي + الاستثماري</t>
  </si>
  <si>
    <t xml:space="preserve">Negative: investment needs outside financing</t>
  </si>
  <si>
    <t xml:space="preserve">DuPont analysis · تحليل ديبونت</t>
  </si>
  <si>
    <t xml:space="preserve">ROE = Net profit margin × Total asset turnover × Equity multiplier. Lecture 02.</t>
  </si>
  <si>
    <t xml:space="preserve">Component</t>
  </si>
  <si>
    <t xml:space="preserve">المكوّن</t>
  </si>
  <si>
    <t xml:space="preserve">دوران إجمالي الأصول</t>
  </si>
  <si>
    <t xml:space="preserve">Equity multiplier</t>
  </si>
  <si>
    <t xml:space="preserve">مضاعف حقوق الملكية</t>
  </si>
  <si>
    <t xml:space="preserve">Average total assets ÷ Average equity</t>
  </si>
  <si>
    <t xml:space="preserve">ROE (DuPont)</t>
  </si>
  <si>
    <t xml:space="preserve">Margin × Turnover × Multiplier</t>
  </si>
  <si>
    <t xml:space="preserve">ROE (direct, from Ratios)</t>
  </si>
  <si>
    <t xml:space="preserve">العائد المباشر للمقارنة</t>
  </si>
  <si>
    <t xml:space="preserve">Must equal the line above</t>
  </si>
  <si>
    <t xml:space="preserve">Before you submit · قبل ما تسلّم</t>
  </si>
  <si>
    <t xml:space="preserve">☐</t>
  </si>
  <si>
    <t xml:space="preserve">Company chosen; 3 years of audited statements downloaded</t>
  </si>
  <si>
    <t xml:space="preserve">اخترت الشركة ونزّلت قوائم 3 سنين معتمدة</t>
  </si>
  <si>
    <t xml:space="preserve">All figures in one unit and the balance check is zero</t>
  </si>
  <si>
    <t xml:space="preserve">كل الأرقام بنفس الوحدة ومراجعة التوازن صفر</t>
  </si>
  <si>
    <t xml:space="preserve">Company profile: what it does, size, market, competitors</t>
  </si>
  <si>
    <t xml:space="preserve">نبذة عن الشركة: بتعمل إيه وحجمها وسوقها ومنافسينها</t>
  </si>
  <si>
    <t xml:space="preserve">Horizontal analysis with comments on the big changes</t>
  </si>
  <si>
    <t xml:space="preserve">تحليل أفقي مع تعليق على التغيرات الكبيرة</t>
  </si>
  <si>
    <t xml:space="preserve">Vertical analysis with comments on the structure</t>
  </si>
  <si>
    <t xml:space="preserve">تحليل رأسي مع تعليق على الهيكل</t>
  </si>
  <si>
    <t xml:space="preserve">Ratios: liquidity, activity, profitability, leverage</t>
  </si>
  <si>
    <t xml:space="preserve">النسب: سيولة ونشاط وربحية ومديونية</t>
  </si>
  <si>
    <t xml:space="preserve">Trend (over years) and, if possible, a competitor or industry comparison</t>
  </si>
  <si>
    <t xml:space="preserve">مقارنة على السنين، ومع منافس أو متوسط الصناعة لو متاح</t>
  </si>
  <si>
    <t xml:space="preserve">DuPont: what drives ROE</t>
  </si>
  <si>
    <t xml:space="preserve">ديبونت: إيه اللي محرّك العائد على حقوق الملكية</t>
  </si>
  <si>
    <t xml:space="preserve">Cash flow: is profit turning into cash? how is growth financed?</t>
  </si>
  <si>
    <t xml:space="preserve">التدفقات: الربح بيتحول كاش؟ والتوسع ممول منين؟</t>
  </si>
  <si>
    <t xml:space="preserve">Conclusion: strengths, weaknesses, risks, recommendations</t>
  </si>
  <si>
    <t xml:space="preserve">الخلاصة: نقاط القوة والضعف والمخاطر والتوصيات</t>
  </si>
  <si>
    <t xml:space="preserve">Sources cited (annual report, page numbers)</t>
  </si>
  <si>
    <t xml:space="preserve">المصادر مكتوبة (التقرير السنوي وأرقام الصفحات)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</si>
</sst>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0.00"/>
    <numFmt numFmtId="167" formatCode="0.0%;\(0.0%\);\-"/>
    <numFmt numFmtId="168" formatCode="0.00\x;\(0.00&quot;x)&quot;;\-"/>
    <numFmt numFmtId="169" formatCode="0.0\x"/>
    <numFmt numFmtId="170" formatCode="0&quot; days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0E2347"/>
      <name val="Arial"/>
      <family val="0"/>
      <charset val="1"/>
    </font>
    <font>
      <b val="true"/>
      <sz val="13"/>
      <color rgb="FFA87D1E"/>
      <name val="Arial"/>
      <family val="0"/>
      <charset val="1"/>
    </font>
    <font>
      <b val="true"/>
      <sz val="11"/>
      <color rgb="FF0E2347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B6578"/>
      <name val="Arial"/>
      <family val="0"/>
      <charset val="1"/>
    </font>
    <font>
      <b val="true"/>
      <sz val="14"/>
      <color rgb="FF0E2347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9D"/>
        <bgColor rgb="FFF2E6C4"/>
      </patternFill>
    </fill>
    <fill>
      <patternFill patternType="solid">
        <fgColor rgb="FF0E2347"/>
        <bgColor rgb="FF333333"/>
      </patternFill>
    </fill>
    <fill>
      <patternFill patternType="solid">
        <fgColor rgb="FFF2E6C4"/>
        <bgColor rgb="FFFFF59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D1E"/>
      <rgbColor rgb="FF800080"/>
      <rgbColor rgb="FF008080"/>
      <rgbColor rgb="FFC0C0C0"/>
      <rgbColor rgb="FF808080"/>
      <rgbColor rgb="FF9999FF"/>
      <rgbColor rgb="FF993366"/>
      <rgbColor rgb="FFF2E6C4"/>
      <rgbColor rgb="FFCCFFFF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8"/>
      <rgbColor rgb="FF969696"/>
      <rgbColor rgb="FF0E23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/>
      <c r="B1" s="2" t="s">
        <v>0</v>
      </c>
    </row>
    <row r="2" customFormat="false" ht="16.1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26.85" hidden="false" customHeight="false" outlineLevel="0" collapsed="false">
      <c r="A5" s="1"/>
      <c r="B5" s="6" t="s">
        <v>3</v>
      </c>
    </row>
    <row r="6" customFormat="false" ht="15" hidden="false" customHeight="false" outlineLevel="0" collapsed="false">
      <c r="A6" s="1"/>
      <c r="B6" s="6" t="s">
        <v>4</v>
      </c>
    </row>
    <row r="7" customFormat="false" ht="26.85" hidden="false" customHeight="false" outlineLevel="0" collapsed="false">
      <c r="A7" s="1"/>
      <c r="B7" s="6" t="s">
        <v>5</v>
      </c>
    </row>
    <row r="8" customFormat="false" ht="15" hidden="false" customHeight="false" outlineLevel="0" collapsed="false">
      <c r="A8" s="1"/>
      <c r="B8" s="6" t="s">
        <v>6</v>
      </c>
    </row>
    <row r="9" customFormat="false" ht="15" hidden="false" customHeight="false" outlineLevel="0" collapsed="false">
      <c r="A9" s="1"/>
      <c r="B9" s="6" t="s">
        <v>7</v>
      </c>
    </row>
    <row r="10" customFormat="false" ht="15" hidden="false" customHeight="false" outlineLevel="0" collapsed="false">
      <c r="A10" s="1"/>
      <c r="B10" s="6" t="s">
        <v>8</v>
      </c>
    </row>
    <row r="11" customFormat="false" ht="15" hidden="false" customHeight="false" outlineLevel="0" collapsed="false">
      <c r="A11" s="1"/>
      <c r="B11" s="6" t="s">
        <v>9</v>
      </c>
    </row>
    <row r="12" customFormat="false" ht="15" hidden="false" customHeight="false" outlineLevel="0" collapsed="false">
      <c r="A12" s="1"/>
      <c r="B12" s="6" t="s">
        <v>10</v>
      </c>
    </row>
    <row r="13" customFormat="false" ht="26.85" hidden="false" customHeight="false" outlineLevel="0" collapsed="false">
      <c r="A13" s="1"/>
      <c r="B13" s="6" t="s">
        <v>11</v>
      </c>
    </row>
    <row r="14" customFormat="false" ht="15" hidden="false" customHeight="false" outlineLevel="0" collapsed="false">
      <c r="A14" s="1"/>
      <c r="B14" s="6" t="s">
        <v>12</v>
      </c>
    </row>
    <row r="15" customFormat="false" ht="15" hidden="false" customHeight="false" outlineLevel="0" collapsed="false">
      <c r="A15" s="1"/>
      <c r="B15" s="4"/>
    </row>
    <row r="16" customFormat="false" ht="15" hidden="false" customHeight="false" outlineLevel="0" collapsed="false">
      <c r="A16" s="1"/>
      <c r="B16" s="5" t="s">
        <v>13</v>
      </c>
    </row>
    <row r="17" customFormat="false" ht="15" hidden="false" customHeight="false" outlineLevel="0" collapsed="false">
      <c r="A17" s="1"/>
      <c r="B17" s="6" t="s">
        <v>14</v>
      </c>
    </row>
    <row r="18" customFormat="false" ht="15" hidden="false" customHeight="false" outlineLevel="0" collapsed="false">
      <c r="A18" s="1"/>
      <c r="B18" s="4"/>
    </row>
    <row r="19" customFormat="false" ht="15" hidden="false" customHeight="false" outlineLevel="0" collapsed="false">
      <c r="A19" s="1"/>
      <c r="B19" s="5" t="s">
        <v>15</v>
      </c>
    </row>
    <row r="20" customFormat="false" ht="26.85" hidden="false" customHeight="false" outlineLevel="0" collapsed="false">
      <c r="A20" s="1"/>
      <c r="B20" s="6" t="s">
        <v>16</v>
      </c>
    </row>
    <row r="21" customFormat="false" ht="22.35" hidden="false" customHeight="false" outlineLevel="0" collapsed="false">
      <c r="A21" s="1"/>
      <c r="B21" s="7" t="s">
        <v>17</v>
      </c>
    </row>
    <row r="22" customFormat="false" ht="22.35" hidden="false" customHeight="false" outlineLevel="0" collapsed="false">
      <c r="A22" s="1"/>
      <c r="B22" s="7" t="s">
        <v>18</v>
      </c>
    </row>
    <row r="23" customFormat="false" ht="15" hidden="false" customHeight="false" outlineLevel="0" collapsed="false">
      <c r="A23" s="1"/>
      <c r="B23" s="4"/>
    </row>
    <row r="24" customFormat="false" ht="15" hidden="false" customHeight="false" outlineLevel="0" collapsed="false">
      <c r="A24" s="1"/>
      <c r="B24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6" min="3" style="0" width="13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8" t="s">
        <v>20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21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0" t="s">
        <v>22</v>
      </c>
      <c r="B3" s="1"/>
      <c r="C3" s="11" t="s">
        <v>23</v>
      </c>
      <c r="D3" s="1"/>
      <c r="E3" s="1"/>
      <c r="F3" s="1"/>
      <c r="G3" s="1"/>
    </row>
    <row r="4" customFormat="false" ht="15" hidden="false" customHeight="false" outlineLevel="0" collapsed="false">
      <c r="A4" s="12" t="s">
        <v>24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</row>
    <row r="5" customFormat="false" ht="15" hidden="false" customHeight="false" outlineLevel="0" collapsed="false">
      <c r="A5" s="13" t="s">
        <v>31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15" t="s">
        <v>32</v>
      </c>
      <c r="B6" s="15" t="s">
        <v>33</v>
      </c>
      <c r="C6" s="16"/>
      <c r="D6" s="17" t="n">
        <v>3595</v>
      </c>
      <c r="E6" s="17" t="n">
        <v>5420.4</v>
      </c>
      <c r="F6" s="17" t="n">
        <v>7227.3</v>
      </c>
      <c r="G6" s="9" t="s">
        <v>34</v>
      </c>
    </row>
    <row r="7" customFormat="false" ht="15" hidden="false" customHeight="false" outlineLevel="0" collapsed="false">
      <c r="A7" s="15" t="s">
        <v>35</v>
      </c>
      <c r="B7" s="15" t="s">
        <v>36</v>
      </c>
      <c r="C7" s="16"/>
      <c r="D7" s="17" t="n">
        <v>2387</v>
      </c>
      <c r="E7" s="17" t="n">
        <v>3407.1</v>
      </c>
      <c r="F7" s="17" t="n">
        <v>4368.8</v>
      </c>
      <c r="G7" s="9" t="s">
        <v>37</v>
      </c>
    </row>
    <row r="8" customFormat="false" ht="15" hidden="false" customHeight="false" outlineLevel="0" collapsed="false">
      <c r="A8" s="15" t="s">
        <v>38</v>
      </c>
      <c r="B8" s="15" t="s">
        <v>39</v>
      </c>
      <c r="C8" s="18"/>
      <c r="D8" s="18" t="n">
        <f aca="false">D6-D7</f>
        <v>1208</v>
      </c>
      <c r="E8" s="18" t="n">
        <f aca="false">E6-E7</f>
        <v>2013.3</v>
      </c>
      <c r="F8" s="18" t="n">
        <f aca="false">F6-F7</f>
        <v>2858.5</v>
      </c>
      <c r="G8" s="9"/>
    </row>
    <row r="9" customFormat="false" ht="15" hidden="false" customHeight="false" outlineLevel="0" collapsed="false">
      <c r="A9" s="15" t="s">
        <v>40</v>
      </c>
      <c r="B9" s="15" t="s">
        <v>41</v>
      </c>
      <c r="C9" s="16"/>
      <c r="D9" s="17" t="n">
        <v>545</v>
      </c>
      <c r="E9" s="17" t="n">
        <v>800.6</v>
      </c>
      <c r="F9" s="17" t="n">
        <v>1341.1</v>
      </c>
      <c r="G9" s="9" t="s">
        <v>42</v>
      </c>
    </row>
    <row r="10" customFormat="false" ht="15" hidden="false" customHeight="false" outlineLevel="0" collapsed="false">
      <c r="A10" s="15" t="s">
        <v>43</v>
      </c>
      <c r="B10" s="15" t="s">
        <v>44</v>
      </c>
      <c r="C10" s="16"/>
      <c r="D10" s="17" t="n">
        <v>649</v>
      </c>
      <c r="E10" s="17" t="n">
        <v>1162.8</v>
      </c>
      <c r="F10" s="17" t="n">
        <v>1499.8</v>
      </c>
      <c r="G10" s="9" t="s">
        <v>45</v>
      </c>
    </row>
    <row r="11" customFormat="false" ht="15" hidden="false" customHeight="false" outlineLevel="0" collapsed="false">
      <c r="A11" s="15" t="s">
        <v>46</v>
      </c>
      <c r="B11" s="15" t="s">
        <v>47</v>
      </c>
      <c r="C11" s="16"/>
      <c r="D11" s="17" t="n">
        <v>70</v>
      </c>
      <c r="E11" s="17" t="n">
        <v>122</v>
      </c>
      <c r="F11" s="17" t="n">
        <v>227.3</v>
      </c>
      <c r="G11" s="9"/>
    </row>
    <row r="12" customFormat="false" ht="15" hidden="false" customHeight="false" outlineLevel="0" collapsed="false">
      <c r="A12" s="15" t="s">
        <v>48</v>
      </c>
      <c r="B12" s="15" t="s">
        <v>49</v>
      </c>
      <c r="C12" s="16"/>
      <c r="D12" s="17" t="n">
        <v>608</v>
      </c>
      <c r="E12" s="17" t="n">
        <v>1083.7</v>
      </c>
      <c r="F12" s="17" t="n">
        <v>1319.1</v>
      </c>
      <c r="G12" s="9"/>
    </row>
    <row r="13" customFormat="false" ht="15" hidden="false" customHeight="false" outlineLevel="0" collapsed="false">
      <c r="A13" s="15" t="s">
        <v>50</v>
      </c>
      <c r="B13" s="15" t="s">
        <v>51</v>
      </c>
      <c r="C13" s="16"/>
      <c r="D13" s="17" t="n">
        <v>469</v>
      </c>
      <c r="E13" s="17" t="n">
        <v>817</v>
      </c>
      <c r="F13" s="17" t="n">
        <v>967.9</v>
      </c>
      <c r="G13" s="9" t="s">
        <v>52</v>
      </c>
    </row>
    <row r="14" customFormat="false" ht="15" hidden="false" customHeight="false" outlineLevel="0" collapsed="false">
      <c r="A14" s="15" t="s">
        <v>53</v>
      </c>
      <c r="B14" s="15" t="s">
        <v>54</v>
      </c>
      <c r="C14" s="16"/>
      <c r="D14" s="17" t="n">
        <v>152.4</v>
      </c>
      <c r="E14" s="17" t="n">
        <v>184.3</v>
      </c>
      <c r="F14" s="17" t="n">
        <v>219.7</v>
      </c>
      <c r="G14" s="9" t="s">
        <v>55</v>
      </c>
    </row>
    <row r="15" customFormat="false" ht="15" hidden="false" customHeight="false" outlineLevel="0" collapsed="false">
      <c r="A15" s="15" t="s">
        <v>56</v>
      </c>
      <c r="B15" s="15" t="s">
        <v>57</v>
      </c>
      <c r="C15" s="19"/>
      <c r="D15" s="20"/>
      <c r="E15" s="20" t="n">
        <v>0.39</v>
      </c>
      <c r="F15" s="20" t="n">
        <v>0.46</v>
      </c>
      <c r="G15" s="9" t="s">
        <v>58</v>
      </c>
    </row>
    <row r="16" customFormat="false" ht="15" hidden="false" customHeight="false" outlineLevel="0" collapsed="false">
      <c r="A16" s="13" t="s">
        <v>59</v>
      </c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5" t="s">
        <v>60</v>
      </c>
      <c r="B17" s="15" t="s">
        <v>61</v>
      </c>
      <c r="C17" s="17" t="n">
        <v>247.2</v>
      </c>
      <c r="D17" s="17" t="n">
        <v>357.9</v>
      </c>
      <c r="E17" s="17" t="n">
        <v>473.2</v>
      </c>
      <c r="F17" s="17" t="n">
        <v>547.5</v>
      </c>
      <c r="G17" s="9"/>
    </row>
    <row r="18" customFormat="false" ht="15" hidden="false" customHeight="false" outlineLevel="0" collapsed="false">
      <c r="A18" s="15" t="s">
        <v>62</v>
      </c>
      <c r="B18" s="15" t="s">
        <v>63</v>
      </c>
      <c r="C18" s="17" t="n">
        <v>486.3</v>
      </c>
      <c r="D18" s="17" t="n">
        <v>648.5</v>
      </c>
      <c r="E18" s="17" t="n">
        <v>1046.8</v>
      </c>
      <c r="F18" s="17" t="n">
        <v>1241.5</v>
      </c>
      <c r="G18" s="9"/>
    </row>
    <row r="19" customFormat="false" ht="15" hidden="false" customHeight="false" outlineLevel="0" collapsed="false">
      <c r="A19" s="15" t="s">
        <v>64</v>
      </c>
      <c r="B19" s="15" t="s">
        <v>65</v>
      </c>
      <c r="C19" s="17" t="n">
        <v>108</v>
      </c>
      <c r="D19" s="17" t="n">
        <v>292</v>
      </c>
      <c r="E19" s="17" t="n">
        <v>320.5</v>
      </c>
      <c r="F19" s="17" t="n">
        <v>281.3</v>
      </c>
      <c r="G19" s="9"/>
    </row>
    <row r="20" customFormat="false" ht="15" hidden="false" customHeight="false" outlineLevel="0" collapsed="false">
      <c r="A20" s="15" t="s">
        <v>66</v>
      </c>
      <c r="B20" s="15" t="s">
        <v>67</v>
      </c>
      <c r="C20" s="17" t="n">
        <v>275</v>
      </c>
      <c r="D20" s="17" t="n">
        <v>468.7</v>
      </c>
      <c r="E20" s="17" t="n">
        <v>617.7</v>
      </c>
      <c r="F20" s="17" t="n">
        <v>293</v>
      </c>
      <c r="G20" s="9" t="s">
        <v>68</v>
      </c>
    </row>
    <row r="21" customFormat="false" ht="15" hidden="false" customHeight="false" outlineLevel="0" collapsed="false">
      <c r="A21" s="15" t="s">
        <v>69</v>
      </c>
      <c r="B21" s="15" t="s">
        <v>70</v>
      </c>
      <c r="C21" s="18" t="n">
        <f aca="false">C17+C18+C19+C20</f>
        <v>1116.5</v>
      </c>
      <c r="D21" s="18" t="n">
        <f aca="false">D17+D18+D19+D20</f>
        <v>1767.1</v>
      </c>
      <c r="E21" s="18" t="n">
        <f aca="false">E17+E18+E19+E20</f>
        <v>2458.2</v>
      </c>
      <c r="F21" s="18" t="n">
        <f aca="false">F17+F18+F19+F20</f>
        <v>2363.3</v>
      </c>
      <c r="G21" s="9"/>
    </row>
    <row r="22" customFormat="false" ht="15" hidden="false" customHeight="false" outlineLevel="0" collapsed="false">
      <c r="A22" s="15" t="s">
        <v>71</v>
      </c>
      <c r="B22" s="15" t="s">
        <v>72</v>
      </c>
      <c r="C22" s="17" t="n">
        <v>1567.3</v>
      </c>
      <c r="D22" s="17" t="n">
        <v>2176.6</v>
      </c>
      <c r="E22" s="17" t="n">
        <v>4642.2</v>
      </c>
      <c r="F22" s="17" t="n">
        <v>7072.9</v>
      </c>
      <c r="G22" s="9"/>
    </row>
    <row r="23" customFormat="false" ht="15" hidden="false" customHeight="false" outlineLevel="0" collapsed="false">
      <c r="A23" s="15" t="s">
        <v>73</v>
      </c>
      <c r="B23" s="15" t="s">
        <v>74</v>
      </c>
      <c r="C23" s="17" t="n">
        <v>580.6</v>
      </c>
      <c r="D23" s="17" t="n">
        <v>544.3</v>
      </c>
      <c r="E23" s="17" t="n">
        <v>489.4</v>
      </c>
      <c r="F23" s="17" t="n">
        <v>805</v>
      </c>
      <c r="G23" s="9" t="s">
        <v>75</v>
      </c>
    </row>
    <row r="24" customFormat="false" ht="15" hidden="false" customHeight="false" outlineLevel="0" collapsed="false">
      <c r="A24" s="15" t="s">
        <v>76</v>
      </c>
      <c r="B24" s="15" t="s">
        <v>77</v>
      </c>
      <c r="C24" s="21" t="n">
        <f aca="false">C22+C23</f>
        <v>2147.9</v>
      </c>
      <c r="D24" s="21" t="n">
        <f aca="false">D22+D23</f>
        <v>2720.9</v>
      </c>
      <c r="E24" s="21" t="n">
        <f aca="false">E22+E23</f>
        <v>5131.6</v>
      </c>
      <c r="F24" s="21" t="n">
        <f aca="false">F22+F23</f>
        <v>7877.9</v>
      </c>
      <c r="G24" s="9"/>
    </row>
    <row r="25" customFormat="false" ht="15" hidden="false" customHeight="false" outlineLevel="0" collapsed="false">
      <c r="A25" s="22" t="s">
        <v>78</v>
      </c>
      <c r="B25" s="15" t="s">
        <v>79</v>
      </c>
      <c r="C25" s="18" t="n">
        <f aca="false">C21+C24</f>
        <v>3264.4</v>
      </c>
      <c r="D25" s="18" t="n">
        <f aca="false">D21+D24</f>
        <v>4488</v>
      </c>
      <c r="E25" s="18" t="n">
        <f aca="false">E21+E24</f>
        <v>7589.8</v>
      </c>
      <c r="F25" s="18" t="n">
        <f aca="false">F21+F24</f>
        <v>10241.2</v>
      </c>
      <c r="G25" s="9"/>
    </row>
    <row r="26" customFormat="false" ht="15" hidden="false" customHeight="false" outlineLevel="0" collapsed="false">
      <c r="A26" s="15" t="s">
        <v>80</v>
      </c>
      <c r="B26" s="15" t="s">
        <v>81</v>
      </c>
      <c r="C26" s="17" t="n">
        <v>244.5</v>
      </c>
      <c r="D26" s="17" t="n">
        <v>318.9</v>
      </c>
      <c r="E26" s="17" t="n">
        <v>439.7</v>
      </c>
      <c r="F26" s="17" t="n">
        <v>842.4</v>
      </c>
      <c r="G26" s="9" t="s">
        <v>82</v>
      </c>
    </row>
    <row r="27" customFormat="false" ht="15" hidden="false" customHeight="false" outlineLevel="0" collapsed="false">
      <c r="A27" s="15" t="s">
        <v>83</v>
      </c>
      <c r="B27" s="15" t="s">
        <v>84</v>
      </c>
      <c r="C27" s="17" t="n">
        <v>659.6</v>
      </c>
      <c r="D27" s="17" t="n">
        <v>1112.2</v>
      </c>
      <c r="E27" s="17" t="n">
        <v>1884.8</v>
      </c>
      <c r="F27" s="17" t="n">
        <v>2467.9</v>
      </c>
      <c r="G27" s="9"/>
    </row>
    <row r="28" customFormat="false" ht="15" hidden="false" customHeight="false" outlineLevel="0" collapsed="false">
      <c r="A28" s="15" t="s">
        <v>85</v>
      </c>
      <c r="B28" s="15" t="s">
        <v>86</v>
      </c>
      <c r="C28" s="18" t="n">
        <f aca="false">C26+C27</f>
        <v>904.1</v>
      </c>
      <c r="D28" s="18" t="n">
        <f aca="false">D26+D27</f>
        <v>1431.1</v>
      </c>
      <c r="E28" s="18" t="n">
        <f aca="false">E26+E27</f>
        <v>2324.5</v>
      </c>
      <c r="F28" s="18" t="n">
        <f aca="false">F26+F27</f>
        <v>3310.3</v>
      </c>
      <c r="G28" s="9"/>
    </row>
    <row r="29" customFormat="false" ht="15" hidden="false" customHeight="false" outlineLevel="0" collapsed="false">
      <c r="A29" s="15" t="s">
        <v>87</v>
      </c>
      <c r="B29" s="15" t="s">
        <v>88</v>
      </c>
      <c r="C29" s="17" t="n">
        <v>88</v>
      </c>
      <c r="D29" s="17" t="n">
        <v>423</v>
      </c>
      <c r="E29" s="17" t="n">
        <v>1908.8</v>
      </c>
      <c r="F29" s="17" t="n">
        <v>2684.7</v>
      </c>
      <c r="G29" s="9"/>
    </row>
    <row r="30" customFormat="false" ht="15" hidden="false" customHeight="false" outlineLevel="0" collapsed="false">
      <c r="A30" s="15" t="s">
        <v>89</v>
      </c>
      <c r="B30" s="15" t="s">
        <v>90</v>
      </c>
      <c r="C30" s="17" t="n">
        <v>244.9</v>
      </c>
      <c r="D30" s="17" t="n">
        <v>187.7</v>
      </c>
      <c r="E30" s="17" t="n">
        <v>178.7</v>
      </c>
      <c r="F30" s="17" t="n">
        <v>205.9</v>
      </c>
      <c r="G30" s="9" t="s">
        <v>91</v>
      </c>
    </row>
    <row r="31" customFormat="false" ht="15" hidden="false" customHeight="false" outlineLevel="0" collapsed="false">
      <c r="A31" s="15" t="s">
        <v>92</v>
      </c>
      <c r="B31" s="15" t="s">
        <v>93</v>
      </c>
      <c r="C31" s="21" t="n">
        <f aca="false">C29+C30</f>
        <v>332.9</v>
      </c>
      <c r="D31" s="21" t="n">
        <f aca="false">D29+D30</f>
        <v>610.7</v>
      </c>
      <c r="E31" s="21" t="n">
        <f aca="false">E29+E30</f>
        <v>2087.5</v>
      </c>
      <c r="F31" s="21" t="n">
        <f aca="false">F29+F30</f>
        <v>2890.6</v>
      </c>
      <c r="G31" s="9"/>
    </row>
    <row r="32" customFormat="false" ht="15" hidden="false" customHeight="false" outlineLevel="0" collapsed="false">
      <c r="A32" s="22" t="s">
        <v>94</v>
      </c>
      <c r="B32" s="15" t="s">
        <v>95</v>
      </c>
      <c r="C32" s="18" t="n">
        <f aca="false">C28+C31</f>
        <v>1237</v>
      </c>
      <c r="D32" s="18" t="n">
        <f aca="false">D28+D31</f>
        <v>2041.8</v>
      </c>
      <c r="E32" s="18" t="n">
        <f aca="false">E28+E31</f>
        <v>4412</v>
      </c>
      <c r="F32" s="18" t="n">
        <f aca="false">F28+F31</f>
        <v>6200.9</v>
      </c>
      <c r="G32" s="9"/>
    </row>
    <row r="33" customFormat="false" ht="15" hidden="false" customHeight="false" outlineLevel="0" collapsed="false">
      <c r="A33" s="15" t="s">
        <v>96</v>
      </c>
      <c r="B33" s="15" t="s">
        <v>97</v>
      </c>
      <c r="C33" s="17" t="n">
        <v>1878.9</v>
      </c>
      <c r="D33" s="17" t="n">
        <v>2249.8</v>
      </c>
      <c r="E33" s="17" t="n">
        <v>2899.6</v>
      </c>
      <c r="F33" s="17" t="n">
        <v>3622.3</v>
      </c>
      <c r="G33" s="9"/>
    </row>
    <row r="34" customFormat="false" ht="15" hidden="false" customHeight="false" outlineLevel="0" collapsed="false">
      <c r="A34" s="15" t="s">
        <v>98</v>
      </c>
      <c r="B34" s="15" t="s">
        <v>99</v>
      </c>
      <c r="C34" s="17" t="n">
        <v>148.4</v>
      </c>
      <c r="D34" s="17" t="n">
        <v>196.5</v>
      </c>
      <c r="E34" s="17" t="n">
        <v>278.2</v>
      </c>
      <c r="F34" s="17" t="n">
        <v>418</v>
      </c>
      <c r="G34" s="9"/>
    </row>
    <row r="35" customFormat="false" ht="15" hidden="false" customHeight="false" outlineLevel="0" collapsed="false">
      <c r="A35" s="22" t="s">
        <v>100</v>
      </c>
      <c r="B35" s="15" t="s">
        <v>101</v>
      </c>
      <c r="C35" s="18" t="n">
        <f aca="false">C33+C34</f>
        <v>2027.3</v>
      </c>
      <c r="D35" s="18" t="n">
        <f aca="false">D33+D34</f>
        <v>2446.3</v>
      </c>
      <c r="E35" s="18" t="n">
        <f aca="false">E33+E34</f>
        <v>3177.8</v>
      </c>
      <c r="F35" s="18" t="n">
        <f aca="false">F33+F34</f>
        <v>4040.3</v>
      </c>
      <c r="G35" s="9"/>
    </row>
    <row r="36" customFormat="false" ht="15" hidden="false" customHeight="false" outlineLevel="0" collapsed="false">
      <c r="A36" s="15" t="s">
        <v>102</v>
      </c>
      <c r="B36" s="15" t="s">
        <v>103</v>
      </c>
      <c r="C36" s="21" t="n">
        <f aca="false">C25-C32-C35</f>
        <v>0.0999999999999091</v>
      </c>
      <c r="D36" s="21" t="n">
        <f aca="false">D25-D32-D35</f>
        <v>-0.100000000000364</v>
      </c>
      <c r="E36" s="21" t="n">
        <f aca="false">E25-E32-E35</f>
        <v>0</v>
      </c>
      <c r="F36" s="21" t="n">
        <f aca="false">F25-F32-F35</f>
        <v>0</v>
      </c>
      <c r="G36" s="9" t="s">
        <v>104</v>
      </c>
    </row>
    <row r="37" customFormat="false" ht="15" hidden="false" customHeight="false" outlineLevel="0" collapsed="false">
      <c r="A37" s="13" t="s">
        <v>105</v>
      </c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5" t="s">
        <v>106</v>
      </c>
      <c r="B38" s="15" t="s">
        <v>107</v>
      </c>
      <c r="C38" s="16"/>
      <c r="D38" s="17" t="n">
        <v>521.6</v>
      </c>
      <c r="E38" s="17" t="n">
        <v>1500</v>
      </c>
      <c r="F38" s="17" t="n">
        <v>1891.9</v>
      </c>
      <c r="G38" s="9" t="s">
        <v>108</v>
      </c>
    </row>
    <row r="39" customFormat="false" ht="15" hidden="false" customHeight="false" outlineLevel="0" collapsed="false">
      <c r="A39" s="15" t="s">
        <v>109</v>
      </c>
      <c r="B39" s="15" t="s">
        <v>110</v>
      </c>
      <c r="C39" s="16"/>
      <c r="D39" s="17" t="n">
        <v>-797.7</v>
      </c>
      <c r="E39" s="17" t="n">
        <v>-2665.8</v>
      </c>
      <c r="F39" s="17" t="n">
        <v>-2599.3</v>
      </c>
      <c r="G39" s="9" t="s">
        <v>111</v>
      </c>
    </row>
    <row r="40" customFormat="false" ht="15" hidden="false" customHeight="false" outlineLevel="0" collapsed="false">
      <c r="A40" s="15" t="s">
        <v>112</v>
      </c>
      <c r="B40" s="15" t="s">
        <v>113</v>
      </c>
      <c r="C40" s="16"/>
      <c r="D40" s="17" t="n">
        <v>291.1</v>
      </c>
      <c r="E40" s="17" t="n">
        <v>1281.2</v>
      </c>
      <c r="F40" s="17" t="n">
        <v>784.2</v>
      </c>
      <c r="G40" s="9"/>
    </row>
    <row r="41" customFormat="false" ht="15" hidden="false" customHeight="false" outlineLevel="0" collapsed="false">
      <c r="A41" s="15" t="s">
        <v>114</v>
      </c>
      <c r="B41" s="15" t="s">
        <v>115</v>
      </c>
      <c r="C41" s="21"/>
      <c r="D41" s="21" t="n">
        <f aca="false">D38+D39+D40</f>
        <v>15</v>
      </c>
      <c r="E41" s="21" t="n">
        <f aca="false">E38+E39+E40</f>
        <v>115.4</v>
      </c>
      <c r="F41" s="21" t="n">
        <f aca="false">F38+F39+F40</f>
        <v>76.8</v>
      </c>
      <c r="G4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4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8" t="s">
        <v>116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">
        <v>117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26.85" hidden="false" customHeight="false" outlineLevel="0" collapsed="false">
      <c r="A4" s="23" t="s">
        <v>24</v>
      </c>
      <c r="B4" s="23" t="s">
        <v>25</v>
      </c>
      <c r="C4" s="23" t="s">
        <v>118</v>
      </c>
      <c r="D4" s="23" t="s">
        <v>119</v>
      </c>
      <c r="E4" s="23" t="s">
        <v>120</v>
      </c>
      <c r="F4" s="23" t="s">
        <v>121</v>
      </c>
    </row>
    <row r="5" customFormat="false" ht="15" hidden="false" customHeight="false" outlineLevel="0" collapsed="false">
      <c r="A5" s="24" t="s">
        <v>32</v>
      </c>
      <c r="B5" s="24" t="s">
        <v>33</v>
      </c>
      <c r="C5" s="25" t="str">
        <f aca="false">IF(OR(Input!C6="",Input!C6=0),"n/a",(Input!D6-Input!C6)/ABS(Input!C6))</f>
        <v>n/a</v>
      </c>
      <c r="D5" s="25" t="n">
        <f aca="false">IF(OR(Input!D6="",Input!D6=0),"n/a",(Input!E6-Input!D6)/ABS(Input!D6))</f>
        <v>0.507760778859527</v>
      </c>
      <c r="E5" s="25" t="n">
        <f aca="false">IF(OR(Input!E6="",Input!E6=0),"n/a",(Input!F6-Input!E6)/ABS(Input!E6))</f>
        <v>0.333351782156299</v>
      </c>
      <c r="F5" s="26"/>
    </row>
    <row r="6" customFormat="false" ht="15" hidden="false" customHeight="false" outlineLevel="0" collapsed="false">
      <c r="A6" s="24" t="s">
        <v>35</v>
      </c>
      <c r="B6" s="24" t="s">
        <v>36</v>
      </c>
      <c r="C6" s="25" t="str">
        <f aca="false">IF(OR(Input!C7="",Input!C7=0),"n/a",(Input!D7-Input!C7)/ABS(Input!C7))</f>
        <v>n/a</v>
      </c>
      <c r="D6" s="25" t="n">
        <f aca="false">IF(OR(Input!D7="",Input!D7=0),"n/a",(Input!E7-Input!D7)/ABS(Input!D7))</f>
        <v>0.427356514453289</v>
      </c>
      <c r="E6" s="25" t="n">
        <f aca="false">IF(OR(Input!E7="",Input!E7=0),"n/a",(Input!F7-Input!E7)/ABS(Input!E7))</f>
        <v>0.282263508555663</v>
      </c>
      <c r="F6" s="26"/>
    </row>
    <row r="7" customFormat="false" ht="15" hidden="false" customHeight="false" outlineLevel="0" collapsed="false">
      <c r="A7" s="24" t="s">
        <v>38</v>
      </c>
      <c r="B7" s="24" t="s">
        <v>39</v>
      </c>
      <c r="C7" s="25" t="str">
        <f aca="false">IF(OR(Input!C8="",Input!C8=0),"n/a",(Input!D8-Input!C8)/ABS(Input!C8))</f>
        <v>n/a</v>
      </c>
      <c r="D7" s="25" t="n">
        <f aca="false">IF(OR(Input!D8="",Input!D8=0),"n/a",(Input!E8-Input!D8)/ABS(Input!D8))</f>
        <v>0.666639072847682</v>
      </c>
      <c r="E7" s="25" t="n">
        <f aca="false">IF(OR(Input!E8="",Input!E8=0),"n/a",(Input!F8-Input!E8)/ABS(Input!E8))</f>
        <v>0.41980827497144</v>
      </c>
      <c r="F7" s="26"/>
    </row>
    <row r="8" customFormat="false" ht="15" hidden="false" customHeight="false" outlineLevel="0" collapsed="false">
      <c r="A8" s="24" t="s">
        <v>40</v>
      </c>
      <c r="B8" s="24" t="s">
        <v>41</v>
      </c>
      <c r="C8" s="25" t="str">
        <f aca="false">IF(OR(Input!C9="",Input!C9=0),"n/a",(Input!D9-Input!C9)/ABS(Input!C9))</f>
        <v>n/a</v>
      </c>
      <c r="D8" s="25" t="n">
        <f aca="false">IF(OR(Input!D9="",Input!D9=0),"n/a",(Input!E9-Input!D9)/ABS(Input!D9))</f>
        <v>0.468990825688073</v>
      </c>
      <c r="E8" s="25" t="n">
        <f aca="false">IF(OR(Input!E9="",Input!E9=0),"n/a",(Input!F9-Input!E9)/ABS(Input!E9))</f>
        <v>0.675118661004247</v>
      </c>
      <c r="F8" s="26"/>
    </row>
    <row r="9" customFormat="false" ht="15" hidden="false" customHeight="false" outlineLevel="0" collapsed="false">
      <c r="A9" s="24" t="s">
        <v>43</v>
      </c>
      <c r="B9" s="24" t="s">
        <v>44</v>
      </c>
      <c r="C9" s="25" t="str">
        <f aca="false">IF(OR(Input!C10="",Input!C10=0),"n/a",(Input!D10-Input!C10)/ABS(Input!C10))</f>
        <v>n/a</v>
      </c>
      <c r="D9" s="25" t="n">
        <f aca="false">IF(OR(Input!D10="",Input!D10=0),"n/a",(Input!E10-Input!D10)/ABS(Input!D10))</f>
        <v>0.791679506933744</v>
      </c>
      <c r="E9" s="25" t="n">
        <f aca="false">IF(OR(Input!E10="",Input!E10=0),"n/a",(Input!F10-Input!E10)/ABS(Input!E10))</f>
        <v>0.289817681458548</v>
      </c>
      <c r="F9" s="26"/>
    </row>
    <row r="10" customFormat="false" ht="15" hidden="false" customHeight="false" outlineLevel="0" collapsed="false">
      <c r="A10" s="24" t="s">
        <v>46</v>
      </c>
      <c r="B10" s="24" t="s">
        <v>47</v>
      </c>
      <c r="C10" s="25" t="str">
        <f aca="false">IF(OR(Input!C11="",Input!C11=0),"n/a",(Input!D11-Input!C11)/ABS(Input!C11))</f>
        <v>n/a</v>
      </c>
      <c r="D10" s="25" t="n">
        <f aca="false">IF(OR(Input!D11="",Input!D11=0),"n/a",(Input!E11-Input!D11)/ABS(Input!D11))</f>
        <v>0.742857142857143</v>
      </c>
      <c r="E10" s="25" t="n">
        <f aca="false">IF(OR(Input!E11="",Input!E11=0),"n/a",(Input!F11-Input!E11)/ABS(Input!E11))</f>
        <v>0.863114754098361</v>
      </c>
      <c r="F10" s="26"/>
    </row>
    <row r="11" customFormat="false" ht="15" hidden="false" customHeight="false" outlineLevel="0" collapsed="false">
      <c r="A11" s="24" t="s">
        <v>50</v>
      </c>
      <c r="B11" s="24" t="s">
        <v>51</v>
      </c>
      <c r="C11" s="25" t="str">
        <f aca="false">IF(OR(Input!C13="",Input!C13=0),"n/a",(Input!D13-Input!C13)/ABS(Input!C13))</f>
        <v>n/a</v>
      </c>
      <c r="D11" s="25" t="n">
        <f aca="false">IF(OR(Input!D13="",Input!D13=0),"n/a",(Input!E13-Input!D13)/ABS(Input!D13))</f>
        <v>0.742004264392324</v>
      </c>
      <c r="E11" s="25" t="n">
        <f aca="false">IF(OR(Input!E13="",Input!E13=0),"n/a",(Input!F13-Input!E13)/ABS(Input!E13))</f>
        <v>0.184700122399021</v>
      </c>
      <c r="F11" s="26"/>
    </row>
    <row r="12" customFormat="false" ht="15" hidden="false" customHeight="false" outlineLevel="0" collapsed="false">
      <c r="A12" s="24" t="s">
        <v>60</v>
      </c>
      <c r="B12" s="24" t="s">
        <v>61</v>
      </c>
      <c r="C12" s="25" t="n">
        <f aca="false">IF(OR(Input!C17="",Input!C17=0),"n/a",(Input!D17-Input!C17)/ABS(Input!C17))</f>
        <v>0.447815533980583</v>
      </c>
      <c r="D12" s="25" t="n">
        <f aca="false">IF(OR(Input!D17="",Input!D17=0),"n/a",(Input!E17-Input!D17)/ABS(Input!D17))</f>
        <v>0.322157027102543</v>
      </c>
      <c r="E12" s="25" t="n">
        <f aca="false">IF(OR(Input!E17="",Input!E17=0),"n/a",(Input!F17-Input!E17)/ABS(Input!E17))</f>
        <v>0.157016060862215</v>
      </c>
      <c r="F12" s="26"/>
    </row>
    <row r="13" customFormat="false" ht="15" hidden="false" customHeight="false" outlineLevel="0" collapsed="false">
      <c r="A13" s="24" t="s">
        <v>62</v>
      </c>
      <c r="B13" s="24" t="s">
        <v>63</v>
      </c>
      <c r="C13" s="25" t="n">
        <f aca="false">IF(OR(Input!C18="",Input!C18=0),"n/a",(Input!D18-Input!C18)/ABS(Input!C18))</f>
        <v>0.333538967715402</v>
      </c>
      <c r="D13" s="25" t="n">
        <f aca="false">IF(OR(Input!D18="",Input!D18=0),"n/a",(Input!E18-Input!D18)/ABS(Input!D18))</f>
        <v>0.614186584425598</v>
      </c>
      <c r="E13" s="25" t="n">
        <f aca="false">IF(OR(Input!E18="",Input!E18=0),"n/a",(Input!F18-Input!E18)/ABS(Input!E18))</f>
        <v>0.185995414596867</v>
      </c>
      <c r="F13" s="26"/>
    </row>
    <row r="14" customFormat="false" ht="15" hidden="false" customHeight="false" outlineLevel="0" collapsed="false">
      <c r="A14" s="24" t="s">
        <v>64</v>
      </c>
      <c r="B14" s="24" t="s">
        <v>65</v>
      </c>
      <c r="C14" s="25" t="n">
        <f aca="false">IF(OR(Input!C19="",Input!C19=0),"n/a",(Input!D19-Input!C19)/ABS(Input!C19))</f>
        <v>1.7037037037037</v>
      </c>
      <c r="D14" s="25" t="n">
        <f aca="false">IF(OR(Input!D19="",Input!D19=0),"n/a",(Input!E19-Input!D19)/ABS(Input!D19))</f>
        <v>0.0976027397260274</v>
      </c>
      <c r="E14" s="25" t="n">
        <f aca="false">IF(OR(Input!E19="",Input!E19=0),"n/a",(Input!F19-Input!E19)/ABS(Input!E19))</f>
        <v>-0.122308892355694</v>
      </c>
      <c r="F14" s="26"/>
    </row>
    <row r="15" customFormat="false" ht="15" hidden="false" customHeight="false" outlineLevel="0" collapsed="false">
      <c r="A15" s="24" t="s">
        <v>71</v>
      </c>
      <c r="B15" s="24" t="s">
        <v>72</v>
      </c>
      <c r="C15" s="25" t="n">
        <f aca="false">IF(OR(Input!C22="",Input!C22=0),"n/a",(Input!D22-Input!C22)/ABS(Input!C22))</f>
        <v>0.388757736234288</v>
      </c>
      <c r="D15" s="25" t="n">
        <f aca="false">IF(OR(Input!D22="",Input!D22=0),"n/a",(Input!E22-Input!D22)/ABS(Input!D22))</f>
        <v>1.13277588900119</v>
      </c>
      <c r="E15" s="25" t="n">
        <f aca="false">IF(OR(Input!E22="",Input!E22=0),"n/a",(Input!F22-Input!E22)/ABS(Input!E22))</f>
        <v>0.523609495497824</v>
      </c>
      <c r="F15" s="26"/>
    </row>
    <row r="16" customFormat="false" ht="15" hidden="false" customHeight="false" outlineLevel="0" collapsed="false">
      <c r="A16" s="24" t="s">
        <v>78</v>
      </c>
      <c r="B16" s="24" t="s">
        <v>79</v>
      </c>
      <c r="C16" s="25" t="n">
        <f aca="false">IF(OR(Input!C25="",Input!C25=0),"n/a",(Input!D25-Input!C25)/ABS(Input!C25))</f>
        <v>0.374831515745619</v>
      </c>
      <c r="D16" s="25" t="n">
        <f aca="false">IF(OR(Input!D25="",Input!D25=0),"n/a",(Input!E25-Input!D25)/ABS(Input!D25))</f>
        <v>0.691131907308378</v>
      </c>
      <c r="E16" s="25" t="n">
        <f aca="false">IF(OR(Input!E25="",Input!E25=0),"n/a",(Input!F25-Input!E25)/ABS(Input!E25))</f>
        <v>0.349337268439221</v>
      </c>
      <c r="F16" s="26"/>
    </row>
    <row r="17" customFormat="false" ht="15" hidden="false" customHeight="false" outlineLevel="0" collapsed="false">
      <c r="A17" s="24" t="s">
        <v>80</v>
      </c>
      <c r="B17" s="24" t="s">
        <v>81</v>
      </c>
      <c r="C17" s="25" t="n">
        <f aca="false">IF(OR(Input!C26="",Input!C26=0),"n/a",(Input!D26-Input!C26)/ABS(Input!C26))</f>
        <v>0.304294478527607</v>
      </c>
      <c r="D17" s="25" t="n">
        <f aca="false">IF(OR(Input!D26="",Input!D26=0),"n/a",(Input!E26-Input!D26)/ABS(Input!D26))</f>
        <v>0.378802132329884</v>
      </c>
      <c r="E17" s="25" t="n">
        <f aca="false">IF(OR(Input!E26="",Input!E26=0),"n/a",(Input!F26-Input!E26)/ABS(Input!E26))</f>
        <v>0.915851717079827</v>
      </c>
      <c r="F17" s="26"/>
    </row>
    <row r="18" customFormat="false" ht="15" hidden="false" customHeight="false" outlineLevel="0" collapsed="false">
      <c r="A18" s="24" t="s">
        <v>87</v>
      </c>
      <c r="B18" s="24" t="s">
        <v>88</v>
      </c>
      <c r="C18" s="25" t="n">
        <f aca="false">IF(OR(Input!C29="",Input!C29=0),"n/a",(Input!D29-Input!C29)/ABS(Input!C29))</f>
        <v>3.80681818181818</v>
      </c>
      <c r="D18" s="25" t="n">
        <f aca="false">IF(OR(Input!D29="",Input!D29=0),"n/a",(Input!E29-Input!D29)/ABS(Input!D29))</f>
        <v>3.51252955082742</v>
      </c>
      <c r="E18" s="25" t="n">
        <f aca="false">IF(OR(Input!E29="",Input!E29=0),"n/a",(Input!F29-Input!E29)/ABS(Input!E29))</f>
        <v>0.406485750209556</v>
      </c>
      <c r="F18" s="26"/>
    </row>
    <row r="19" customFormat="false" ht="15" hidden="false" customHeight="false" outlineLevel="0" collapsed="false">
      <c r="A19" s="24" t="s">
        <v>94</v>
      </c>
      <c r="B19" s="24" t="s">
        <v>95</v>
      </c>
      <c r="C19" s="25" t="n">
        <f aca="false">IF(OR(Input!C32="",Input!C32=0),"n/a",(Input!D32-Input!C32)/ABS(Input!C32))</f>
        <v>0.650606305578011</v>
      </c>
      <c r="D19" s="25" t="n">
        <f aca="false">IF(OR(Input!D32="",Input!D32=0),"n/a",(Input!E32-Input!D32)/ABS(Input!D32))</f>
        <v>1.16083847585464</v>
      </c>
      <c r="E19" s="25" t="n">
        <f aca="false">IF(OR(Input!E32="",Input!E32=0),"n/a",(Input!F32-Input!E32)/ABS(Input!E32))</f>
        <v>0.405462375339982</v>
      </c>
      <c r="F19" s="26"/>
    </row>
    <row r="20" customFormat="false" ht="15" hidden="false" customHeight="false" outlineLevel="0" collapsed="false">
      <c r="A20" s="24" t="s">
        <v>100</v>
      </c>
      <c r="B20" s="24" t="s">
        <v>101</v>
      </c>
      <c r="C20" s="25" t="n">
        <f aca="false">IF(OR(Input!C35="",Input!C35=0),"n/a",(Input!D35-Input!C35)/ABS(Input!C35))</f>
        <v>0.206678833917032</v>
      </c>
      <c r="D20" s="25" t="n">
        <f aca="false">IF(OR(Input!D35="",Input!D35=0),"n/a",(Input!E35-Input!D35)/ABS(Input!D35))</f>
        <v>0.299023014348199</v>
      </c>
      <c r="E20" s="25" t="n">
        <f aca="false">IF(OR(Input!E35="",Input!E35=0),"n/a",(Input!F35-Input!E35)/ABS(Input!E35))</f>
        <v>0.271414185914784</v>
      </c>
      <c r="F20" s="26"/>
    </row>
    <row r="21" customFormat="false" ht="15" hidden="false" customHeight="false" outlineLevel="0" collapsed="false">
      <c r="A21" s="24" t="s">
        <v>106</v>
      </c>
      <c r="B21" s="24" t="s">
        <v>107</v>
      </c>
      <c r="C21" s="25" t="str">
        <f aca="false">IF(OR(Input!C38="",Input!C38=0),"n/a",(Input!D38-Input!C38)/ABS(Input!C38))</f>
        <v>n/a</v>
      </c>
      <c r="D21" s="25" t="n">
        <f aca="false">IF(OR(Input!D38="",Input!D38=0),"n/a",(Input!E38-Input!D38)/ABS(Input!D38))</f>
        <v>1.87576687116564</v>
      </c>
      <c r="E21" s="25" t="n">
        <f aca="false">IF(OR(Input!E38="",Input!E38=0),"n/a",(Input!F38-Input!E38)/ABS(Input!E38))</f>
        <v>0.261266666666667</v>
      </c>
      <c r="F21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4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8" t="s">
        <v>122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">
        <v>123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23" t="s">
        <v>24</v>
      </c>
      <c r="B4" s="23" t="s">
        <v>25</v>
      </c>
      <c r="C4" s="23" t="s">
        <v>27</v>
      </c>
      <c r="D4" s="23" t="s">
        <v>28</v>
      </c>
      <c r="E4" s="23" t="s">
        <v>29</v>
      </c>
      <c r="F4" s="23" t="s">
        <v>121</v>
      </c>
    </row>
    <row r="5" customFormat="false" ht="15" hidden="false" customHeight="false" outlineLevel="0" collapsed="false">
      <c r="A5" s="24" t="s">
        <v>124</v>
      </c>
      <c r="B5" s="24" t="s">
        <v>36</v>
      </c>
      <c r="C5" s="25" t="n">
        <f aca="false">Input!D7/Input!D6</f>
        <v>0.663977746870654</v>
      </c>
      <c r="D5" s="25" t="n">
        <f aca="false">Input!E7/Input!E6</f>
        <v>0.628569847243746</v>
      </c>
      <c r="E5" s="25" t="n">
        <f aca="false">Input!F7/Input!F6</f>
        <v>0.604485769236091</v>
      </c>
      <c r="F5" s="26"/>
    </row>
    <row r="6" customFormat="false" ht="15" hidden="false" customHeight="false" outlineLevel="0" collapsed="false">
      <c r="A6" s="24" t="s">
        <v>125</v>
      </c>
      <c r="B6" s="24" t="s">
        <v>39</v>
      </c>
      <c r="C6" s="25" t="n">
        <f aca="false">Input!D8/Input!D6</f>
        <v>0.336022253129346</v>
      </c>
      <c r="D6" s="25" t="n">
        <f aca="false">Input!E8/Input!E6</f>
        <v>0.371430152756254</v>
      </c>
      <c r="E6" s="25" t="n">
        <f aca="false">Input!F8/Input!F6</f>
        <v>0.395514230763909</v>
      </c>
      <c r="F6" s="26"/>
    </row>
    <row r="7" customFormat="false" ht="15" hidden="false" customHeight="false" outlineLevel="0" collapsed="false">
      <c r="A7" s="24" t="s">
        <v>126</v>
      </c>
      <c r="B7" s="24" t="s">
        <v>41</v>
      </c>
      <c r="C7" s="25" t="n">
        <f aca="false">Input!D9/Input!D6</f>
        <v>0.151599443671766</v>
      </c>
      <c r="D7" s="25" t="n">
        <f aca="false">Input!E9/Input!E6</f>
        <v>0.147701276658549</v>
      </c>
      <c r="E7" s="25" t="n">
        <f aca="false">Input!F9/Input!F6</f>
        <v>0.185560306061738</v>
      </c>
      <c r="F7" s="26"/>
    </row>
    <row r="8" customFormat="false" ht="15" hidden="false" customHeight="false" outlineLevel="0" collapsed="false">
      <c r="A8" s="24" t="s">
        <v>127</v>
      </c>
      <c r="B8" s="24" t="s">
        <v>44</v>
      </c>
      <c r="C8" s="25" t="n">
        <f aca="false">Input!D10/Input!D6</f>
        <v>0.180528511821975</v>
      </c>
      <c r="D8" s="25" t="n">
        <f aca="false">Input!E10/Input!E6</f>
        <v>0.214522913438123</v>
      </c>
      <c r="E8" s="25" t="n">
        <f aca="false">Input!F10/Input!F6</f>
        <v>0.20751871376586</v>
      </c>
      <c r="F8" s="26"/>
    </row>
    <row r="9" customFormat="false" ht="15" hidden="false" customHeight="false" outlineLevel="0" collapsed="false">
      <c r="A9" s="24" t="s">
        <v>128</v>
      </c>
      <c r="B9" s="24" t="s">
        <v>47</v>
      </c>
      <c r="C9" s="25" t="n">
        <f aca="false">Input!D11/Input!D6</f>
        <v>0.019471488178025</v>
      </c>
      <c r="D9" s="25" t="n">
        <f aca="false">Input!E11/Input!E6</f>
        <v>0.0225075640174157</v>
      </c>
      <c r="E9" s="25" t="n">
        <f aca="false">Input!F11/Input!F6</f>
        <v>0.0314501957854247</v>
      </c>
      <c r="F9" s="26"/>
    </row>
    <row r="10" customFormat="false" ht="15" hidden="false" customHeight="false" outlineLevel="0" collapsed="false">
      <c r="A10" s="24" t="s">
        <v>129</v>
      </c>
      <c r="B10" s="24" t="s">
        <v>51</v>
      </c>
      <c r="C10" s="25" t="n">
        <f aca="false">Input!D13/Input!D6</f>
        <v>0.130458970792768</v>
      </c>
      <c r="D10" s="25" t="n">
        <f aca="false">Input!E13/Input!E6</f>
        <v>0.150726883624825</v>
      </c>
      <c r="E10" s="25" t="n">
        <f aca="false">Input!F13/Input!F6</f>
        <v>0.133922765071327</v>
      </c>
      <c r="F10" s="26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false" outlineLevel="0" collapsed="false">
      <c r="A12" s="24" t="s">
        <v>130</v>
      </c>
      <c r="B12" s="24" t="s">
        <v>61</v>
      </c>
      <c r="C12" s="25" t="n">
        <f aca="false">Input!D17/Input!D25</f>
        <v>0.0797459893048128</v>
      </c>
      <c r="D12" s="25" t="n">
        <f aca="false">Input!E17/Input!E25</f>
        <v>0.0623468339086669</v>
      </c>
      <c r="E12" s="25" t="n">
        <f aca="false">Input!F17/Input!F25</f>
        <v>0.0534605319689099</v>
      </c>
      <c r="F12" s="26"/>
    </row>
    <row r="13" customFormat="false" ht="15" hidden="false" customHeight="false" outlineLevel="0" collapsed="false">
      <c r="A13" s="24" t="s">
        <v>131</v>
      </c>
      <c r="B13" s="24" t="s">
        <v>63</v>
      </c>
      <c r="C13" s="25" t="n">
        <f aca="false">Input!D18/Input!D25</f>
        <v>0.144496434937611</v>
      </c>
      <c r="D13" s="25" t="n">
        <f aca="false">Input!E18/Input!E25</f>
        <v>0.137921947877414</v>
      </c>
      <c r="E13" s="25" t="n">
        <f aca="false">Input!F18/Input!F25</f>
        <v>0.12122602819982</v>
      </c>
      <c r="F13" s="26"/>
    </row>
    <row r="14" customFormat="false" ht="15" hidden="false" customHeight="false" outlineLevel="0" collapsed="false">
      <c r="A14" s="24" t="s">
        <v>132</v>
      </c>
      <c r="B14" s="24" t="s">
        <v>65</v>
      </c>
      <c r="C14" s="25" t="n">
        <f aca="false">Input!D19/Input!D25</f>
        <v>0.0650623885918004</v>
      </c>
      <c r="D14" s="25" t="n">
        <f aca="false">Input!E19/Input!E25</f>
        <v>0.0422277266858152</v>
      </c>
      <c r="E14" s="25" t="n">
        <f aca="false">Input!F19/Input!F25</f>
        <v>0.027467484279186</v>
      </c>
      <c r="F14" s="26"/>
    </row>
    <row r="15" customFormat="false" ht="15" hidden="false" customHeight="false" outlineLevel="0" collapsed="false">
      <c r="A15" s="24" t="s">
        <v>133</v>
      </c>
      <c r="B15" s="24" t="s">
        <v>70</v>
      </c>
      <c r="C15" s="25" t="n">
        <f aca="false">Input!D21/Input!D25</f>
        <v>0.393738859180036</v>
      </c>
      <c r="D15" s="25" t="n">
        <f aca="false">Input!E21/Input!E25</f>
        <v>0.32388205222799</v>
      </c>
      <c r="E15" s="25" t="n">
        <f aca="false">Input!F21/Input!F25</f>
        <v>0.230763972971917</v>
      </c>
      <c r="F15" s="26"/>
    </row>
    <row r="16" customFormat="false" ht="15" hidden="false" customHeight="false" outlineLevel="0" collapsed="false">
      <c r="A16" s="24" t="s">
        <v>134</v>
      </c>
      <c r="B16" s="24" t="s">
        <v>72</v>
      </c>
      <c r="C16" s="25" t="n">
        <f aca="false">Input!D22/Input!D25</f>
        <v>0.484982174688057</v>
      </c>
      <c r="D16" s="25" t="n">
        <f aca="false">Input!E22/Input!E25</f>
        <v>0.611636670267991</v>
      </c>
      <c r="E16" s="25" t="n">
        <f aca="false">Input!F22/Input!F25</f>
        <v>0.690631957192517</v>
      </c>
      <c r="F16" s="26"/>
    </row>
    <row r="17" customFormat="false" ht="15" hidden="false" customHeight="false" outlineLevel="0" collapsed="false">
      <c r="A17" s="24" t="s">
        <v>135</v>
      </c>
      <c r="B17" s="24" t="s">
        <v>77</v>
      </c>
      <c r="C17" s="25" t="n">
        <f aca="false">Input!D24/Input!D25</f>
        <v>0.606261140819964</v>
      </c>
      <c r="D17" s="25" t="n">
        <f aca="false">Input!E24/Input!E25</f>
        <v>0.67611794777201</v>
      </c>
      <c r="E17" s="25" t="n">
        <f aca="false">Input!F24/Input!F25</f>
        <v>0.769236027028083</v>
      </c>
      <c r="F17" s="26"/>
    </row>
    <row r="18" customFormat="false" ht="15" hidden="false" customHeight="false" outlineLevel="0" collapsed="false">
      <c r="A18" s="24" t="s">
        <v>136</v>
      </c>
      <c r="B18" s="24" t="s">
        <v>86</v>
      </c>
      <c r="C18" s="25" t="n">
        <f aca="false">Input!D28/Input!D25</f>
        <v>0.318872549019608</v>
      </c>
      <c r="D18" s="25" t="n">
        <f aca="false">Input!E28/Input!E25</f>
        <v>0.306266304777465</v>
      </c>
      <c r="E18" s="25" t="n">
        <f aca="false">Input!F28/Input!F25</f>
        <v>0.323233605436863</v>
      </c>
      <c r="F18" s="26"/>
    </row>
    <row r="19" customFormat="false" ht="15" hidden="false" customHeight="false" outlineLevel="0" collapsed="false">
      <c r="A19" s="24" t="s">
        <v>137</v>
      </c>
      <c r="B19" s="24" t="s">
        <v>93</v>
      </c>
      <c r="C19" s="25" t="n">
        <f aca="false">Input!D31/Input!D25</f>
        <v>0.136073975044563</v>
      </c>
      <c r="D19" s="25" t="n">
        <f aca="false">Input!E31/Input!E25</f>
        <v>0.275040185512135</v>
      </c>
      <c r="E19" s="25" t="n">
        <f aca="false">Input!F31/Input!F25</f>
        <v>0.282252079834394</v>
      </c>
      <c r="F19" s="26"/>
    </row>
    <row r="20" customFormat="false" ht="15" hidden="false" customHeight="false" outlineLevel="0" collapsed="false">
      <c r="A20" s="24" t="s">
        <v>138</v>
      </c>
      <c r="B20" s="24" t="s">
        <v>95</v>
      </c>
      <c r="C20" s="25" t="n">
        <f aca="false">Input!D32/Input!D25</f>
        <v>0.454946524064171</v>
      </c>
      <c r="D20" s="25" t="n">
        <f aca="false">Input!E32/Input!E25</f>
        <v>0.581306490289599</v>
      </c>
      <c r="E20" s="25" t="n">
        <f aca="false">Input!F32/Input!F25</f>
        <v>0.605485685271257</v>
      </c>
      <c r="F20" s="26"/>
    </row>
    <row r="21" customFormat="false" ht="15" hidden="false" customHeight="false" outlineLevel="0" collapsed="false">
      <c r="A21" s="24" t="s">
        <v>139</v>
      </c>
      <c r="B21" s="24" t="s">
        <v>101</v>
      </c>
      <c r="C21" s="25" t="n">
        <f aca="false">Input!D35/Input!D25</f>
        <v>0.545075757575758</v>
      </c>
      <c r="D21" s="25" t="n">
        <f aca="false">Input!E35/Input!E25</f>
        <v>0.418693509710401</v>
      </c>
      <c r="E21" s="25" t="n">
        <f aca="false">Input!F35/Input!F25</f>
        <v>0.394514314728743</v>
      </c>
      <c r="F21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46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8" t="s">
        <v>140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141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23" t="s">
        <v>142</v>
      </c>
      <c r="B4" s="23" t="s">
        <v>143</v>
      </c>
      <c r="C4" s="23" t="s">
        <v>27</v>
      </c>
      <c r="D4" s="23" t="s">
        <v>28</v>
      </c>
      <c r="E4" s="23" t="s">
        <v>29</v>
      </c>
      <c r="F4" s="23" t="s">
        <v>144</v>
      </c>
      <c r="G4" s="23" t="s">
        <v>121</v>
      </c>
    </row>
    <row r="5" customFormat="false" ht="15" hidden="false" customHeight="false" outlineLevel="0" collapsed="false">
      <c r="A5" s="13" t="s">
        <v>145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24" t="s">
        <v>146</v>
      </c>
      <c r="B6" s="24" t="s">
        <v>147</v>
      </c>
      <c r="C6" s="27" t="n">
        <f aca="false">Input!D21/Input!D28</f>
        <v>1.23478443155615</v>
      </c>
      <c r="D6" s="27" t="n">
        <f aca="false">Input!E21/Input!E28</f>
        <v>1.05751774575177</v>
      </c>
      <c r="E6" s="27" t="n">
        <f aca="false">Input!F21/Input!F28</f>
        <v>0.713923209376794</v>
      </c>
      <c r="F6" s="9" t="s">
        <v>148</v>
      </c>
      <c r="G6" s="26"/>
    </row>
    <row r="7" customFormat="false" ht="15" hidden="false" customHeight="false" outlineLevel="0" collapsed="false">
      <c r="A7" s="24" t="s">
        <v>149</v>
      </c>
      <c r="B7" s="24" t="s">
        <v>150</v>
      </c>
      <c r="C7" s="27" t="n">
        <f aca="false">(Input!D21-Input!D19)/Input!D28</f>
        <v>1.03074558032283</v>
      </c>
      <c r="D7" s="27" t="n">
        <f aca="false">(Input!E21-Input!E19)/Input!E28</f>
        <v>0.919638631963863</v>
      </c>
      <c r="E7" s="27" t="n">
        <f aca="false">(Input!F21-Input!F19)/Input!F28</f>
        <v>0.628946016977313</v>
      </c>
      <c r="F7" s="9" t="s">
        <v>151</v>
      </c>
      <c r="G7" s="26"/>
    </row>
    <row r="8" customFormat="false" ht="15" hidden="false" customHeight="false" outlineLevel="0" collapsed="false">
      <c r="A8" s="24" t="s">
        <v>152</v>
      </c>
      <c r="B8" s="24" t="s">
        <v>153</v>
      </c>
      <c r="C8" s="27" t="n">
        <f aca="false">Input!D17/Input!D28</f>
        <v>0.250087345398644</v>
      </c>
      <c r="D8" s="27" t="n">
        <f aca="false">Input!E17/Input!E28</f>
        <v>0.203570660357066</v>
      </c>
      <c r="E8" s="27" t="n">
        <f aca="false">Input!F17/Input!F28</f>
        <v>0.165392864695043</v>
      </c>
      <c r="F8" s="9" t="s">
        <v>154</v>
      </c>
      <c r="G8" s="26"/>
    </row>
    <row r="9" customFormat="false" ht="15" hidden="false" customHeight="false" outlineLevel="0" collapsed="false">
      <c r="A9" s="13" t="s">
        <v>155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24" t="s">
        <v>156</v>
      </c>
      <c r="B10" s="24" t="s">
        <v>157</v>
      </c>
      <c r="C10" s="28" t="n">
        <f aca="false">Input!D7/((Input!C19+Input!D19)/2)</f>
        <v>11.935</v>
      </c>
      <c r="D10" s="28" t="n">
        <f aca="false">Input!E7/((Input!D19+Input!E19)/2)</f>
        <v>11.1252244897959</v>
      </c>
      <c r="E10" s="28" t="n">
        <f aca="false">Input!F7/((Input!E19+Input!F19)/2)</f>
        <v>14.5191093386507</v>
      </c>
      <c r="F10" s="9" t="s">
        <v>158</v>
      </c>
      <c r="G10" s="26"/>
    </row>
    <row r="11" customFormat="false" ht="15" hidden="false" customHeight="false" outlineLevel="0" collapsed="false">
      <c r="A11" s="24" t="s">
        <v>159</v>
      </c>
      <c r="B11" s="24" t="s">
        <v>160</v>
      </c>
      <c r="C11" s="29" t="n">
        <f aca="false">365/(Input!D7/((Input!C19+Input!D19)/2))</f>
        <v>30.5823209049016</v>
      </c>
      <c r="D11" s="29" t="n">
        <f aca="false">365/(Input!E7/((Input!D19+Input!E19)/2))</f>
        <v>32.8083267294767</v>
      </c>
      <c r="E11" s="29" t="n">
        <f aca="false">365/(Input!F7/((Input!E19+Input!F19)/2))</f>
        <v>25.1392830983336</v>
      </c>
      <c r="F11" s="9" t="s">
        <v>161</v>
      </c>
      <c r="G11" s="26"/>
    </row>
    <row r="12" customFormat="false" ht="15" hidden="false" customHeight="false" outlineLevel="0" collapsed="false">
      <c r="A12" s="24" t="s">
        <v>162</v>
      </c>
      <c r="B12" s="24" t="s">
        <v>163</v>
      </c>
      <c r="C12" s="28" t="n">
        <f aca="false">Input!D6/((Input!C18+Input!D18)/2)</f>
        <v>6.3359182234755</v>
      </c>
      <c r="D12" s="28" t="n">
        <f aca="false">Input!E6/((Input!D18+Input!E18)/2)</f>
        <v>6.3946204211644</v>
      </c>
      <c r="E12" s="28" t="n">
        <f aca="false">Input!F6/((Input!E18+Input!F18)/2)</f>
        <v>6.31674168596775</v>
      </c>
      <c r="F12" s="9" t="s">
        <v>164</v>
      </c>
      <c r="G12" s="26"/>
    </row>
    <row r="13" customFormat="false" ht="15" hidden="false" customHeight="false" outlineLevel="0" collapsed="false">
      <c r="A13" s="24" t="s">
        <v>165</v>
      </c>
      <c r="B13" s="24" t="s">
        <v>166</v>
      </c>
      <c r="C13" s="29" t="n">
        <f aca="false">365/(Input!D6/((Input!C18+Input!D18)/2))</f>
        <v>57.608066759388</v>
      </c>
      <c r="D13" s="29" t="n">
        <f aca="false">365/(Input!E6/((Input!D18+Input!E18)/2))</f>
        <v>57.0792284702236</v>
      </c>
      <c r="E13" s="29" t="n">
        <f aca="false">365/(Input!F6/((Input!E18+Input!F18)/2))</f>
        <v>57.7829549070884</v>
      </c>
      <c r="F13" s="9" t="s">
        <v>167</v>
      </c>
      <c r="G13" s="26"/>
    </row>
    <row r="14" customFormat="false" ht="15" hidden="false" customHeight="false" outlineLevel="0" collapsed="false">
      <c r="A14" s="24" t="s">
        <v>168</v>
      </c>
      <c r="B14" s="24" t="s">
        <v>169</v>
      </c>
      <c r="C14" s="27" t="n">
        <f aca="false">Input!D6/((Input!C22+Input!D22)/2)</f>
        <v>1.92045727717086</v>
      </c>
      <c r="D14" s="27" t="n">
        <f aca="false">Input!E6/((Input!D22+Input!E22)/2)</f>
        <v>1.58983985451986</v>
      </c>
      <c r="E14" s="27" t="n">
        <f aca="false">Input!F6/((Input!E22+Input!F22)/2)</f>
        <v>1.23384350112248</v>
      </c>
      <c r="F14" s="9" t="s">
        <v>170</v>
      </c>
      <c r="G14" s="26"/>
    </row>
    <row r="15" customFormat="false" ht="15" hidden="false" customHeight="false" outlineLevel="0" collapsed="false">
      <c r="A15" s="24" t="s">
        <v>171</v>
      </c>
      <c r="B15" s="24" t="s">
        <v>172</v>
      </c>
      <c r="C15" s="27" t="n">
        <f aca="false">Input!D6/((Input!C25+Input!D25)/2)</f>
        <v>0.927454723698468</v>
      </c>
      <c r="D15" s="27" t="n">
        <f aca="false">Input!E6/((Input!D25+Input!E25)/2)</f>
        <v>0.89758068522413</v>
      </c>
      <c r="E15" s="27" t="n">
        <f aca="false">Input!F6/((Input!E25+Input!F25)/2)</f>
        <v>0.810644383377264</v>
      </c>
      <c r="F15" s="9" t="s">
        <v>173</v>
      </c>
      <c r="G15" s="26"/>
    </row>
    <row r="16" customFormat="false" ht="15" hidden="false" customHeight="false" outlineLevel="0" collapsed="false">
      <c r="A16" s="13" t="s">
        <v>174</v>
      </c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24" t="s">
        <v>175</v>
      </c>
      <c r="B17" s="24" t="s">
        <v>176</v>
      </c>
      <c r="C17" s="25" t="n">
        <f aca="false">Input!D8/Input!D6</f>
        <v>0.336022253129346</v>
      </c>
      <c r="D17" s="25" t="n">
        <f aca="false">Input!E8/Input!E6</f>
        <v>0.371430152756254</v>
      </c>
      <c r="E17" s="25" t="n">
        <f aca="false">Input!F8/Input!F6</f>
        <v>0.395514230763909</v>
      </c>
      <c r="F17" s="9" t="s">
        <v>177</v>
      </c>
      <c r="G17" s="26"/>
    </row>
    <row r="18" customFormat="false" ht="15" hidden="false" customHeight="false" outlineLevel="0" collapsed="false">
      <c r="A18" s="24" t="s">
        <v>178</v>
      </c>
      <c r="B18" s="24" t="s">
        <v>179</v>
      </c>
      <c r="C18" s="25" t="n">
        <f aca="false">Input!D10/Input!D6</f>
        <v>0.180528511821975</v>
      </c>
      <c r="D18" s="25" t="n">
        <f aca="false">Input!E10/Input!E6</f>
        <v>0.214522913438123</v>
      </c>
      <c r="E18" s="25" t="n">
        <f aca="false">Input!F10/Input!F6</f>
        <v>0.20751871376586</v>
      </c>
      <c r="F18" s="9" t="s">
        <v>180</v>
      </c>
      <c r="G18" s="26"/>
    </row>
    <row r="19" customFormat="false" ht="15" hidden="false" customHeight="false" outlineLevel="0" collapsed="false">
      <c r="A19" s="24" t="s">
        <v>181</v>
      </c>
      <c r="B19" s="24" t="s">
        <v>182</v>
      </c>
      <c r="C19" s="25" t="n">
        <f aca="false">Input!D13/Input!D6</f>
        <v>0.130458970792768</v>
      </c>
      <c r="D19" s="25" t="n">
        <f aca="false">Input!E13/Input!E6</f>
        <v>0.150726883624825</v>
      </c>
      <c r="E19" s="25" t="n">
        <f aca="false">Input!F13/Input!F6</f>
        <v>0.133922765071327</v>
      </c>
      <c r="F19" s="9" t="s">
        <v>183</v>
      </c>
      <c r="G19" s="26"/>
    </row>
    <row r="20" customFormat="false" ht="15" hidden="false" customHeight="false" outlineLevel="0" collapsed="false">
      <c r="A20" s="24" t="s">
        <v>184</v>
      </c>
      <c r="B20" s="24" t="s">
        <v>185</v>
      </c>
      <c r="C20" s="25" t="n">
        <f aca="false">Input!D13/((Input!C25+Input!D25)/2)</f>
        <v>0.120994788710593</v>
      </c>
      <c r="D20" s="25" t="n">
        <f aca="false">Input!E13/((Input!D25+Input!E25)/2)</f>
        <v>0.135289539485668</v>
      </c>
      <c r="E20" s="25" t="n">
        <f aca="false">Input!F13/((Input!E25+Input!F25)/2)</f>
        <v>0.108563737311424</v>
      </c>
      <c r="F20" s="9" t="s">
        <v>186</v>
      </c>
      <c r="G20" s="26"/>
    </row>
    <row r="21" customFormat="false" ht="15" hidden="false" customHeight="false" outlineLevel="0" collapsed="false">
      <c r="A21" s="24" t="s">
        <v>187</v>
      </c>
      <c r="B21" s="24" t="s">
        <v>188</v>
      </c>
      <c r="C21" s="25" t="n">
        <f aca="false">Input!D13/((Input!C35+Input!D35)/2)</f>
        <v>0.209674535050072</v>
      </c>
      <c r="D21" s="25" t="n">
        <f aca="false">Input!E13/((Input!D35+Input!E35)/2)</f>
        <v>0.290535374548817</v>
      </c>
      <c r="E21" s="25" t="n">
        <f aca="false">Input!F13/((Input!E35+Input!F35)/2)</f>
        <v>0.268186918995303</v>
      </c>
      <c r="F21" s="9" t="s">
        <v>189</v>
      </c>
      <c r="G21" s="26"/>
    </row>
    <row r="22" customFormat="false" ht="15" hidden="false" customHeight="false" outlineLevel="0" collapsed="false">
      <c r="A22" s="24" t="s">
        <v>190</v>
      </c>
      <c r="B22" s="24" t="s">
        <v>57</v>
      </c>
      <c r="C22" s="30" t="str">
        <f aca="false">IF(Input!D15="","n/a",Input!D15)</f>
        <v>n/a</v>
      </c>
      <c r="D22" s="30" t="n">
        <f aca="false">IF(Input!E15="","n/a",Input!E15)</f>
        <v>0.39</v>
      </c>
      <c r="E22" s="30" t="n">
        <f aca="false">IF(Input!F15="","n/a",Input!F15)</f>
        <v>0.46</v>
      </c>
      <c r="F22" s="9" t="s">
        <v>191</v>
      </c>
      <c r="G22" s="26"/>
    </row>
    <row r="23" customFormat="false" ht="15" hidden="false" customHeight="false" outlineLevel="0" collapsed="false">
      <c r="A23" s="13" t="s">
        <v>192</v>
      </c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24" t="s">
        <v>193</v>
      </c>
      <c r="B24" s="24" t="s">
        <v>194</v>
      </c>
      <c r="C24" s="25" t="n">
        <f aca="false">Input!D32/Input!D25</f>
        <v>0.454946524064171</v>
      </c>
      <c r="D24" s="25" t="n">
        <f aca="false">Input!E32/Input!E25</f>
        <v>0.581306490289599</v>
      </c>
      <c r="E24" s="25" t="n">
        <f aca="false">Input!F32/Input!F25</f>
        <v>0.605485685271257</v>
      </c>
      <c r="F24" s="9" t="s">
        <v>195</v>
      </c>
      <c r="G24" s="26"/>
    </row>
    <row r="25" customFormat="false" ht="15" hidden="false" customHeight="false" outlineLevel="0" collapsed="false">
      <c r="A25" s="24" t="s">
        <v>196</v>
      </c>
      <c r="B25" s="24" t="s">
        <v>197</v>
      </c>
      <c r="C25" s="25" t="n">
        <f aca="false">(Input!D26+Input!D29)/Input!D25</f>
        <v>0.165307486631016</v>
      </c>
      <c r="D25" s="25" t="n">
        <f aca="false">(Input!E26+Input!E29)/Input!E25</f>
        <v>0.309428443437245</v>
      </c>
      <c r="E25" s="25" t="n">
        <f aca="false">(Input!F26+Input!F29)/Input!F25</f>
        <v>0.344402999648479</v>
      </c>
      <c r="F25" s="9" t="s">
        <v>198</v>
      </c>
      <c r="G25" s="26"/>
    </row>
    <row r="26" customFormat="false" ht="15" hidden="false" customHeight="false" outlineLevel="0" collapsed="false">
      <c r="A26" s="24" t="s">
        <v>199</v>
      </c>
      <c r="B26" s="24" t="s">
        <v>200</v>
      </c>
      <c r="C26" s="27" t="n">
        <f aca="false">Input!D32/Input!D35</f>
        <v>0.834648244287291</v>
      </c>
      <c r="D26" s="27" t="n">
        <f aca="false">Input!E32/Input!E35</f>
        <v>1.38838189942728</v>
      </c>
      <c r="E26" s="27" t="n">
        <f aca="false">Input!F32/Input!F35</f>
        <v>1.53476227012846</v>
      </c>
      <c r="F26" s="9" t="s">
        <v>201</v>
      </c>
      <c r="G26" s="26"/>
    </row>
    <row r="27" customFormat="false" ht="15" hidden="false" customHeight="false" outlineLevel="0" collapsed="false">
      <c r="A27" s="24" t="s">
        <v>202</v>
      </c>
      <c r="B27" s="24" t="s">
        <v>203</v>
      </c>
      <c r="C27" s="28" t="n">
        <f aca="false">Input!D10/Input!D11</f>
        <v>9.27142857142857</v>
      </c>
      <c r="D27" s="28" t="n">
        <f aca="false">Input!E10/Input!E11</f>
        <v>9.53114754098361</v>
      </c>
      <c r="E27" s="28" t="n">
        <f aca="false">Input!F10/Input!F11</f>
        <v>6.59832820061593</v>
      </c>
      <c r="F27" s="9" t="s">
        <v>204</v>
      </c>
      <c r="G27" s="26"/>
    </row>
    <row r="28" customFormat="false" ht="15" hidden="false" customHeight="false" outlineLevel="0" collapsed="false">
      <c r="A28" s="13" t="s">
        <v>205</v>
      </c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24" t="s">
        <v>206</v>
      </c>
      <c r="B29" s="24" t="s">
        <v>207</v>
      </c>
      <c r="C29" s="27" t="n">
        <f aca="false">Input!D38/Input!D13</f>
        <v>1.11215351812367</v>
      </c>
      <c r="D29" s="27" t="n">
        <f aca="false">Input!E38/Input!E13</f>
        <v>1.8359853121175</v>
      </c>
      <c r="E29" s="27" t="n">
        <f aca="false">Input!F38/Input!F13</f>
        <v>1.95464407480112</v>
      </c>
      <c r="F29" s="9" t="s">
        <v>208</v>
      </c>
      <c r="G29" s="26"/>
    </row>
    <row r="30" customFormat="false" ht="15" hidden="false" customHeight="false" outlineLevel="0" collapsed="false">
      <c r="A30" s="24" t="s">
        <v>209</v>
      </c>
      <c r="B30" s="24" t="s">
        <v>210</v>
      </c>
      <c r="C30" s="21" t="n">
        <f aca="false">Input!D38+Input!D39</f>
        <v>-276.1</v>
      </c>
      <c r="D30" s="21" t="n">
        <f aca="false">Input!E38+Input!E39</f>
        <v>-1165.8</v>
      </c>
      <c r="E30" s="21" t="n">
        <f aca="false">Input!F38+Input!F39</f>
        <v>-707.4</v>
      </c>
      <c r="F30" s="9" t="s">
        <v>211</v>
      </c>
      <c r="G3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4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8" t="s">
        <v>212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213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23" t="s">
        <v>214</v>
      </c>
      <c r="B4" s="23" t="s">
        <v>215</v>
      </c>
      <c r="C4" s="23" t="s">
        <v>27</v>
      </c>
      <c r="D4" s="23" t="s">
        <v>28</v>
      </c>
      <c r="E4" s="23" t="s">
        <v>29</v>
      </c>
      <c r="F4" s="23" t="s">
        <v>144</v>
      </c>
      <c r="G4" s="23" t="s">
        <v>121</v>
      </c>
    </row>
    <row r="5" customFormat="false" ht="15" hidden="false" customHeight="false" outlineLevel="0" collapsed="false">
      <c r="A5" s="24" t="s">
        <v>181</v>
      </c>
      <c r="B5" s="24" t="s">
        <v>182</v>
      </c>
      <c r="C5" s="25" t="n">
        <f aca="false">Input!D13/Input!D6</f>
        <v>0.130458970792768</v>
      </c>
      <c r="D5" s="25" t="n">
        <f aca="false">Input!E13/Input!E6</f>
        <v>0.150726883624825</v>
      </c>
      <c r="E5" s="25" t="n">
        <f aca="false">Input!F13/Input!F6</f>
        <v>0.133922765071327</v>
      </c>
      <c r="F5" s="9" t="s">
        <v>183</v>
      </c>
      <c r="G5" s="26"/>
    </row>
    <row r="6" customFormat="false" ht="15" hidden="false" customHeight="false" outlineLevel="0" collapsed="false">
      <c r="A6" s="24" t="s">
        <v>171</v>
      </c>
      <c r="B6" s="24" t="s">
        <v>216</v>
      </c>
      <c r="C6" s="27" t="n">
        <f aca="false">Input!D6/((Input!C25+Input!D25)/2)</f>
        <v>0.927454723698468</v>
      </c>
      <c r="D6" s="27" t="n">
        <f aca="false">Input!E6/((Input!D25+Input!E25)/2)</f>
        <v>0.89758068522413</v>
      </c>
      <c r="E6" s="27" t="n">
        <f aca="false">Input!F6/((Input!E25+Input!F25)/2)</f>
        <v>0.810644383377264</v>
      </c>
      <c r="F6" s="9" t="s">
        <v>173</v>
      </c>
      <c r="G6" s="26"/>
    </row>
    <row r="7" customFormat="false" ht="15" hidden="false" customHeight="false" outlineLevel="0" collapsed="false">
      <c r="A7" s="24" t="s">
        <v>217</v>
      </c>
      <c r="B7" s="24" t="s">
        <v>218</v>
      </c>
      <c r="C7" s="27" t="n">
        <f aca="false">((Input!C25+Input!D25)/2)/((Input!C35+Input!D35)/2)</f>
        <v>1.73292203147353</v>
      </c>
      <c r="D7" s="27" t="n">
        <f aca="false">((Input!D25+Input!E25)/2)/((Input!D35+Input!E35)/2)</f>
        <v>2.14750804573176</v>
      </c>
      <c r="E7" s="27" t="n">
        <f aca="false">((Input!E25+Input!F25)/2)/((Input!E35+Input!F35)/2)</f>
        <v>2.47031767362602</v>
      </c>
      <c r="F7" s="9" t="s">
        <v>219</v>
      </c>
      <c r="G7" s="26"/>
    </row>
    <row r="8" customFormat="false" ht="15" hidden="false" customHeight="false" outlineLevel="0" collapsed="false">
      <c r="A8" s="10" t="s">
        <v>220</v>
      </c>
      <c r="B8" s="24" t="s">
        <v>188</v>
      </c>
      <c r="C8" s="31" t="n">
        <f aca="false">C5*C6*C7</f>
        <v>0.209674535050072</v>
      </c>
      <c r="D8" s="31" t="n">
        <f aca="false">D5*D6*D7</f>
        <v>0.290535374548817</v>
      </c>
      <c r="E8" s="31" t="n">
        <f aca="false">E5*E6*E7</f>
        <v>0.268186918995303</v>
      </c>
      <c r="F8" s="9" t="s">
        <v>221</v>
      </c>
      <c r="G8" s="26"/>
    </row>
    <row r="9" customFormat="false" ht="15" hidden="false" customHeight="false" outlineLevel="0" collapsed="false">
      <c r="A9" s="10" t="s">
        <v>222</v>
      </c>
      <c r="B9" s="24" t="s">
        <v>223</v>
      </c>
      <c r="C9" s="32" t="n">
        <f aca="false">Ratios!C21</f>
        <v>0.209674535050072</v>
      </c>
      <c r="D9" s="32" t="n">
        <f aca="false">Ratios!D21</f>
        <v>0.290535374548817</v>
      </c>
      <c r="E9" s="32" t="n">
        <f aca="false">Ratios!E21</f>
        <v>0.268186918995303</v>
      </c>
      <c r="F9" s="9" t="s">
        <v>224</v>
      </c>
      <c r="G9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15" hidden="false" customHeight="false" outlineLevel="0" collapsed="false">
      <c r="A1" s="1"/>
      <c r="B1" s="8" t="s">
        <v>225</v>
      </c>
      <c r="C1" s="1"/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15" t="s">
        <v>226</v>
      </c>
      <c r="B3" s="15" t="s">
        <v>227</v>
      </c>
      <c r="C3" s="15" t="s">
        <v>228</v>
      </c>
    </row>
    <row r="4" customFormat="false" ht="15" hidden="false" customHeight="false" outlineLevel="0" collapsed="false">
      <c r="A4" s="15" t="s">
        <v>226</v>
      </c>
      <c r="B4" s="15" t="s">
        <v>229</v>
      </c>
      <c r="C4" s="15" t="s">
        <v>230</v>
      </c>
    </row>
    <row r="5" customFormat="false" ht="15" hidden="false" customHeight="false" outlineLevel="0" collapsed="false">
      <c r="A5" s="15" t="s">
        <v>226</v>
      </c>
      <c r="B5" s="15" t="s">
        <v>231</v>
      </c>
      <c r="C5" s="15" t="s">
        <v>232</v>
      </c>
    </row>
    <row r="6" customFormat="false" ht="15" hidden="false" customHeight="false" outlineLevel="0" collapsed="false">
      <c r="A6" s="15" t="s">
        <v>226</v>
      </c>
      <c r="B6" s="15" t="s">
        <v>233</v>
      </c>
      <c r="C6" s="15" t="s">
        <v>234</v>
      </c>
    </row>
    <row r="7" customFormat="false" ht="15" hidden="false" customHeight="false" outlineLevel="0" collapsed="false">
      <c r="A7" s="15" t="s">
        <v>226</v>
      </c>
      <c r="B7" s="15" t="s">
        <v>235</v>
      </c>
      <c r="C7" s="15" t="s">
        <v>236</v>
      </c>
    </row>
    <row r="8" customFormat="false" ht="15" hidden="false" customHeight="false" outlineLevel="0" collapsed="false">
      <c r="A8" s="15" t="s">
        <v>226</v>
      </c>
      <c r="B8" s="15" t="s">
        <v>237</v>
      </c>
      <c r="C8" s="15" t="s">
        <v>238</v>
      </c>
    </row>
    <row r="9" customFormat="false" ht="15" hidden="false" customHeight="false" outlineLevel="0" collapsed="false">
      <c r="A9" s="15" t="s">
        <v>226</v>
      </c>
      <c r="B9" s="15" t="s">
        <v>239</v>
      </c>
      <c r="C9" s="15" t="s">
        <v>240</v>
      </c>
    </row>
    <row r="10" customFormat="false" ht="15" hidden="false" customHeight="false" outlineLevel="0" collapsed="false">
      <c r="A10" s="15" t="s">
        <v>226</v>
      </c>
      <c r="B10" s="15" t="s">
        <v>241</v>
      </c>
      <c r="C10" s="15" t="s">
        <v>242</v>
      </c>
    </row>
    <row r="11" customFormat="false" ht="15" hidden="false" customHeight="false" outlineLevel="0" collapsed="false">
      <c r="A11" s="15" t="s">
        <v>226</v>
      </c>
      <c r="B11" s="15" t="s">
        <v>243</v>
      </c>
      <c r="C11" s="15" t="s">
        <v>244</v>
      </c>
    </row>
    <row r="12" customFormat="false" ht="15" hidden="false" customHeight="false" outlineLevel="0" collapsed="false">
      <c r="A12" s="15" t="s">
        <v>226</v>
      </c>
      <c r="B12" s="15" t="s">
        <v>245</v>
      </c>
      <c r="C12" s="15" t="s">
        <v>246</v>
      </c>
    </row>
    <row r="13" customFormat="false" ht="15" hidden="false" customHeight="false" outlineLevel="0" collapsed="false">
      <c r="A13" s="15" t="s">
        <v>226</v>
      </c>
      <c r="B13" s="15" t="s">
        <v>247</v>
      </c>
      <c r="C13" s="1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2026-10-24T12:54:16Z</dcterms:created>
  <dc:creator>openpyxl</dc:creator>
  <dc:description/>
  <dc:language>en-US</dc:language>
  <cp:lastModifiedBy/>
  <dcterms:modified xsi:type="dcterms:W3CDTF">2026-10-24T12:54:16Z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